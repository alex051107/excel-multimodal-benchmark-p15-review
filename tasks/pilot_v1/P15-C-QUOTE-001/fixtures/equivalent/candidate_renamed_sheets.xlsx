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Scope rollup" sheetId="2" state="visible" r:id="rId2"/>
    <sheet xmlns:r="http://schemas.openxmlformats.org/officeDocument/2006/relationships" name="Quoted lines" sheetId="3" state="visible" r:id="rId3"/>
    <sheet xmlns:r="http://schemas.openxmlformats.org/officeDocument/2006/relationships" name="Buyer options" sheetId="4" state="visible" r:id="rId4"/>
    <sheet xmlns:r="http://schemas.openxmlformats.org/officeDocument/2006/relationships" name="Source register" sheetId="5" state="visible" r:id="rId5"/>
    <sheet xmlns:r="http://schemas.openxmlformats.org/officeDocument/2006/relationships" name="Review notes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1" customWidth="1" min="3" max="3"/>
  </cols>
  <sheetData>
    <row r="1" ht="26" customHeight="1">
      <c r="A1" s="14" t="inlineStr">
        <is>
          <t>Contractor Quote Header</t>
        </is>
      </c>
    </row>
    <row r="2">
      <c r="A2" s="15" t="n"/>
      <c r="B2" s="15" t="n"/>
      <c r="C2" s="15" t="n"/>
    </row>
    <row r="3">
      <c r="A3" s="9" t="inlineStr">
        <is>
          <t>Field</t>
        </is>
      </c>
      <c r="B3" s="9" t="inlineStr">
        <is>
          <t>Value</t>
        </is>
      </c>
      <c r="C3" s="15" t="n"/>
    </row>
    <row r="4">
      <c r="A4" s="12" t="inlineStr">
        <is>
          <t>Vendor</t>
        </is>
      </c>
      <c r="B4" s="12" t="inlineStr">
        <is>
          <t>Moss Ridge Contractors</t>
        </is>
      </c>
      <c r="C4" s="15" t="n"/>
    </row>
    <row r="5">
      <c r="A5" s="12" t="inlineStr">
        <is>
          <t>Quote ID</t>
        </is>
      </c>
      <c r="B5" s="12" t="inlineStr">
        <is>
          <t>QT-7781</t>
        </is>
      </c>
      <c r="C5" s="15" t="n"/>
    </row>
    <row r="6">
      <c r="A6" s="12" t="inlineStr">
        <is>
          <t>Customer</t>
        </is>
      </c>
      <c r="B6" s="12" t="inlineStr">
        <is>
          <t>Northstar Operations</t>
        </is>
      </c>
      <c r="C6" s="15" t="n"/>
    </row>
    <row r="7">
      <c r="A7" s="12" t="inlineStr">
        <is>
          <t>Quote date</t>
        </is>
      </c>
      <c r="B7" s="12" t="inlineStr">
        <is>
          <t>2026-06-15</t>
        </is>
      </c>
      <c r="C7" s="15" t="n"/>
    </row>
    <row r="8">
      <c r="A8" s="12" t="inlineStr">
        <is>
          <t>Valid through</t>
        </is>
      </c>
      <c r="B8" s="12" t="inlineStr">
        <is>
          <t>2026-07-15</t>
        </is>
      </c>
      <c r="C8" s="15" t="n"/>
    </row>
    <row r="9">
      <c r="A9" s="12" t="inlineStr">
        <is>
          <t>Currency</t>
        </is>
      </c>
      <c r="B9" s="12" t="inlineStr">
        <is>
          <t>USD</t>
        </is>
      </c>
      <c r="C9" s="15" t="n"/>
    </row>
    <row r="10">
      <c r="A10" s="15" t="n"/>
      <c r="B10" s="15" t="n"/>
      <c r="C10" s="15" t="n"/>
    </row>
    <row r="11">
      <c r="A11" s="9" t="inlineStr">
        <is>
          <t>Calculation</t>
        </is>
      </c>
      <c r="B11" s="9" t="inlineStr">
        <is>
          <t>Value</t>
        </is>
      </c>
      <c r="C11" s="15" t="n"/>
    </row>
    <row r="12">
      <c r="A12" s="12" t="inlineStr">
        <is>
          <t>Base scope subtotal</t>
        </is>
      </c>
      <c r="B12" s="16">
        <f>SUM('Groups'!B4:B4)</f>
        <v/>
      </c>
      <c r="C12" s="15" t="n"/>
    </row>
    <row r="13">
      <c r="A13" s="12" t="inlineStr">
        <is>
          <t>Discount</t>
        </is>
      </c>
      <c r="B13" s="16">
        <f>B12*0.06</f>
        <v/>
      </c>
      <c r="C13" s="15" t="n"/>
    </row>
    <row r="14">
      <c r="A14" s="12" t="inlineStr">
        <is>
          <t>Tax</t>
        </is>
      </c>
      <c r="B14" s="16">
        <f>(B12-B13)*0.075</f>
        <v/>
      </c>
      <c r="C14" s="15" t="n"/>
    </row>
    <row r="15">
      <c r="A15" s="12" t="inlineStr">
        <is>
          <t>Base-scope total</t>
        </is>
      </c>
      <c r="B15" s="16">
        <f>B12-B13+B14</f>
        <v/>
      </c>
      <c r="C15" s="15" t="n"/>
    </row>
    <row r="16">
      <c r="A16" s="12" t="inlineStr">
        <is>
          <t>Optional alternate (excluded)</t>
        </is>
      </c>
      <c r="B16" s="16">
        <f>'Alternates'!C4</f>
        <v/>
      </c>
      <c r="C16" s="15" t="n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7" customWidth="1" min="3" max="3"/>
    <col width="24" customWidth="1" min="4" max="4"/>
  </cols>
  <sheetData>
    <row r="1" ht="26" customHeight="1">
      <c r="A1" s="14" t="inlineStr">
        <is>
          <t>Quoted Scope Groups</t>
        </is>
      </c>
    </row>
    <row r="2">
      <c r="A2" s="15" t="n"/>
      <c r="B2" s="15" t="n"/>
      <c r="C2" s="15" t="n"/>
      <c r="D2" s="15" t="n"/>
    </row>
    <row r="3">
      <c r="A3" s="9" t="inlineStr">
        <is>
          <t>Group</t>
        </is>
      </c>
      <c r="B3" s="9" t="inlineStr">
        <is>
          <t>Amount</t>
        </is>
      </c>
      <c r="C3" s="9" t="inlineStr">
        <is>
          <t>Included in base total</t>
        </is>
      </c>
      <c r="D3" s="9" t="inlineStr">
        <is>
          <t>Document</t>
        </is>
      </c>
    </row>
    <row r="4">
      <c r="A4" s="12" t="inlineStr">
        <is>
          <t>Base scope</t>
        </is>
      </c>
      <c r="B4" s="16">
        <f>'Line_Items'!E4+'Line_Items'!E5</f>
        <v/>
      </c>
      <c r="C4" s="12" t="inlineStr">
        <is>
          <t>Yes</t>
        </is>
      </c>
      <c r="D4" s="12" t="inlineStr">
        <is>
          <t>quote_scan.png</t>
        </is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14" customWidth="1" min="4" max="4"/>
    <col width="18" customWidth="1" min="5" max="5"/>
    <col width="14" customWidth="1" min="6" max="6"/>
    <col width="38" customWidth="1" min="7" max="7"/>
  </cols>
  <sheetData>
    <row r="1" ht="26" customHeight="1">
      <c r="A1" s="14" t="inlineStr">
        <is>
          <t>Quote Scope Extraction</t>
        </is>
      </c>
    </row>
    <row r="2">
      <c r="A2" s="15" t="n"/>
      <c r="B2" s="15" t="n"/>
      <c r="C2" s="15" t="n"/>
      <c r="D2" s="15" t="n"/>
      <c r="E2" s="15" t="n"/>
      <c r="F2" s="15" t="n"/>
      <c r="G2" s="15" t="n"/>
    </row>
    <row r="3">
      <c r="A3" s="9" t="inlineStr">
        <is>
          <t>Line ID</t>
        </is>
      </c>
      <c r="B3" s="9" t="inlineStr">
        <is>
          <t>Description</t>
        </is>
      </c>
      <c r="C3" s="9" t="inlineStr">
        <is>
          <t>Group</t>
        </is>
      </c>
      <c r="D3" s="9" t="inlineStr">
        <is>
          <t>Optional</t>
        </is>
      </c>
      <c r="E3" s="9" t="inlineStr">
        <is>
          <t>Amount</t>
        </is>
      </c>
      <c r="F3" s="9" t="inlineStr">
        <is>
          <t>Source page</t>
        </is>
      </c>
      <c r="G3" s="9" t="inlineStr">
        <is>
          <t>Text locator</t>
        </is>
      </c>
    </row>
    <row r="4">
      <c r="A4" s="12" t="inlineStr">
        <is>
          <t>Q-01</t>
        </is>
      </c>
      <c r="B4" s="12" t="inlineStr">
        <is>
          <t>Equipment foundation package</t>
        </is>
      </c>
      <c r="C4" s="12" t="inlineStr">
        <is>
          <t>Base scope</t>
        </is>
      </c>
      <c r="D4" s="12" t="inlineStr">
        <is>
          <t>No</t>
        </is>
      </c>
      <c r="E4" s="16" t="n">
        <v>1400</v>
      </c>
      <c r="F4" s="12" t="n">
        <v>1</v>
      </c>
      <c r="G4" s="12" t="inlineStr">
        <is>
          <t>quote_scan.png:base-scope-1</t>
        </is>
      </c>
    </row>
    <row r="5">
      <c r="A5" s="12" t="inlineStr">
        <is>
          <t>Q-02</t>
        </is>
      </c>
      <c r="B5" s="12" t="inlineStr">
        <is>
          <t>Site mobilization</t>
        </is>
      </c>
      <c r="C5" s="12" t="inlineStr">
        <is>
          <t>Base scope</t>
        </is>
      </c>
      <c r="D5" s="12" t="inlineStr">
        <is>
          <t>No</t>
        </is>
      </c>
      <c r="E5" s="16" t="n">
        <v>840</v>
      </c>
      <c r="F5" s="12" t="n">
        <v>1</v>
      </c>
      <c r="G5" s="12" t="inlineStr">
        <is>
          <t>quote_scan.png:base-scope-2</t>
        </is>
      </c>
    </row>
    <row r="6">
      <c r="A6" s="12" t="inlineStr">
        <is>
          <t>Q-03</t>
        </is>
      </c>
      <c r="B6" s="12" t="inlineStr">
        <is>
          <t>Extended warranty</t>
        </is>
      </c>
      <c r="C6" s="12" t="inlineStr">
        <is>
          <t>Optional alternate</t>
        </is>
      </c>
      <c r="D6" s="12" t="inlineStr">
        <is>
          <t>Yes</t>
        </is>
      </c>
      <c r="E6" s="16" t="n">
        <v>310</v>
      </c>
      <c r="F6" s="12" t="n">
        <v>1</v>
      </c>
      <c r="G6" s="12" t="inlineStr">
        <is>
          <t>quote_scan.png:alternate-1</t>
        </is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18" customWidth="1" min="3" max="3"/>
    <col width="22" customWidth="1" min="4" max="4"/>
  </cols>
  <sheetData>
    <row r="1" ht="26" customHeight="1">
      <c r="A1" s="14" t="inlineStr">
        <is>
          <t>Optional Alternates</t>
        </is>
      </c>
    </row>
    <row r="2">
      <c r="A2" s="15" t="n"/>
      <c r="B2" s="15" t="n"/>
      <c r="C2" s="15" t="n"/>
      <c r="D2" s="15" t="n"/>
    </row>
    <row r="3">
      <c r="A3" s="9" t="inlineStr">
        <is>
          <t>Line ID</t>
        </is>
      </c>
      <c r="B3" s="9" t="inlineStr">
        <is>
          <t>Description</t>
        </is>
      </c>
      <c r="C3" s="9" t="inlineStr">
        <is>
          <t>Amount</t>
        </is>
      </c>
      <c r="D3" s="9" t="inlineStr">
        <is>
          <t>Include in base</t>
        </is>
      </c>
    </row>
    <row r="4">
      <c r="A4" s="12" t="inlineStr">
        <is>
          <t>Q-03</t>
        </is>
      </c>
      <c r="B4" s="12" t="inlineStr">
        <is>
          <t>Extended warranty</t>
        </is>
      </c>
      <c r="C4" s="16" t="n">
        <v>310</v>
      </c>
      <c r="D4" s="12" t="inlineStr">
        <is>
          <t>No</t>
        </is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40" customWidth="1" min="4" max="4"/>
    <col width="18" customWidth="1" min="5" max="5"/>
  </cols>
  <sheetData>
    <row r="1" ht="26" customHeight="1">
      <c r="A1" s="14" t="inlineStr">
        <is>
          <t>Quote Source Traceability</t>
        </is>
      </c>
    </row>
    <row r="2">
      <c r="A2" s="15" t="n"/>
      <c r="B2" s="15" t="n"/>
      <c r="C2" s="15" t="n"/>
      <c r="D2" s="15" t="n"/>
      <c r="E2" s="15" t="n"/>
    </row>
    <row r="3">
      <c r="A3" s="9" t="inlineStr">
        <is>
          <t>Line ID</t>
        </is>
      </c>
      <c r="B3" s="9" t="inlineStr">
        <is>
          <t>Source document</t>
        </is>
      </c>
      <c r="C3" s="9" t="inlineStr">
        <is>
          <t>Page</t>
        </is>
      </c>
      <c r="D3" s="9" t="inlineStr">
        <is>
          <t>Text locator</t>
        </is>
      </c>
      <c r="E3" s="9" t="inlineStr">
        <is>
          <t>Target row</t>
        </is>
      </c>
    </row>
    <row r="4">
      <c r="A4" s="12" t="inlineStr">
        <is>
          <t>Q-01</t>
        </is>
      </c>
      <c r="B4" s="12" t="inlineStr">
        <is>
          <t>quote_scan.png</t>
        </is>
      </c>
      <c r="C4" s="12" t="n">
        <v>1</v>
      </c>
      <c r="D4" s="12" t="inlineStr">
        <is>
          <t>quote_scan.png:base-scope-1</t>
        </is>
      </c>
      <c r="E4" s="12" t="inlineStr">
        <is>
          <t>Line_Items!4</t>
        </is>
      </c>
    </row>
    <row r="5">
      <c r="A5" s="12" t="inlineStr">
        <is>
          <t>Q-02</t>
        </is>
      </c>
      <c r="B5" s="12" t="inlineStr">
        <is>
          <t>quote_scan.png</t>
        </is>
      </c>
      <c r="C5" s="12" t="n">
        <v>1</v>
      </c>
      <c r="D5" s="12" t="inlineStr">
        <is>
          <t>quote_scan.png:base-scope-2</t>
        </is>
      </c>
      <c r="E5" s="12" t="inlineStr">
        <is>
          <t>Line_Items!5</t>
        </is>
      </c>
    </row>
    <row r="6">
      <c r="A6" s="12" t="inlineStr">
        <is>
          <t>Q-03</t>
        </is>
      </c>
      <c r="B6" s="12" t="inlineStr">
        <is>
          <t>quote_scan.png</t>
        </is>
      </c>
      <c r="C6" s="12" t="n">
        <v>1</v>
      </c>
      <c r="D6" s="12" t="inlineStr">
        <is>
          <t>quote_scan.png:alternate-1</t>
        </is>
      </c>
      <c r="E6" s="12" t="inlineStr">
        <is>
          <t>Line_Items!6</t>
        </is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20" customWidth="1" min="3" max="3"/>
    <col width="37" customWidth="1" min="4" max="4"/>
  </cols>
  <sheetData>
    <row r="1" ht="26" customHeight="1">
      <c r="A1" s="14" t="inlineStr">
        <is>
          <t>Quote Normalization Checks</t>
        </is>
      </c>
    </row>
    <row r="2">
      <c r="A2" s="15" t="n"/>
      <c r="B2" s="15" t="n"/>
      <c r="C2" s="15" t="n"/>
      <c r="D2" s="15" t="n"/>
    </row>
    <row r="3">
      <c r="A3" s="9" t="inlineStr">
        <is>
          <t>Check</t>
        </is>
      </c>
      <c r="B3" s="9" t="inlineStr">
        <is>
          <t>Observed</t>
        </is>
      </c>
      <c r="C3" s="9" t="inlineStr">
        <is>
          <t>Expected</t>
        </is>
      </c>
      <c r="D3" s="9" t="inlineStr">
        <is>
          <t>Interpretation</t>
        </is>
      </c>
    </row>
    <row r="4">
      <c r="A4" s="12" t="inlineStr">
        <is>
          <t>Base-scope lines</t>
        </is>
      </c>
      <c r="B4" s="12">
        <f>1+1</f>
        <v/>
      </c>
      <c r="C4" s="12" t="n">
        <v>2</v>
      </c>
      <c r="D4" s="12" t="inlineStr">
        <is>
          <t>Optional alternate excluded</t>
        </is>
      </c>
    </row>
    <row r="5">
      <c r="A5" s="12" t="inlineStr">
        <is>
          <t>Optional alternates</t>
        </is>
      </c>
      <c r="B5" s="12">
        <f>1</f>
        <v/>
      </c>
      <c r="C5" s="12" t="n">
        <v>1</v>
      </c>
      <c r="D5" s="12" t="inlineStr">
        <is>
          <t>Retained separately</t>
        </is>
      </c>
    </row>
    <row r="6">
      <c r="A6" s="12" t="inlineStr">
        <is>
          <t>Base-scope total</t>
        </is>
      </c>
      <c r="B6" s="16">
        <f>'Quote_Header'!B15</f>
        <v/>
      </c>
      <c r="C6" s="16" t="n">
        <v>2263.52</v>
      </c>
      <c r="D6" s="12" t="inlineStr">
        <is>
          <t>Discount and tax applied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2026-09-04T02:56:44Z</dcterms:created>
  <dcterms:modified xmlns:dcterms="http://purl.org/dc/terms/" xmlns:xsi="http://www.w3.org/2001/XMLSchema-instance" xsi:type="dcterms:W3CDTF">2026-09-04T02:56:44Z</dcterms:modified>
</cp:coreProperties>
</file>