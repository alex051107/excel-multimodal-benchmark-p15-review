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33f9e408649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Header" sheetId="1" r:id="R5bd912c0596440bb"/>
    <x:sheet xmlns:r="http://schemas.openxmlformats.org/officeDocument/2006/relationships" name="Groups" sheetId="2" r:id="R22bedfab903f4c20"/>
    <x:sheet xmlns:r="http://schemas.openxmlformats.org/officeDocument/2006/relationships" name="Line_Items" sheetId="3" r:id="R2bc8d109b7b846f0"/>
    <x:sheet xmlns:r="http://schemas.openxmlformats.org/officeDocument/2006/relationships" name="Alternates" sheetId="4" r:id="Rcb1af89e36384681"/>
    <x:sheet xmlns:r="http://schemas.openxmlformats.org/officeDocument/2006/relationships" name="Provenance" sheetId="5" r:id="Rdc4c7396c11d4a18"/>
    <x:sheet xmlns:r="http://schemas.openxmlformats.org/officeDocument/2006/relationships" name="Checks" sheetId="6" r:id="R87f4aa551828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35032b38b4dfe" /><Relationship Type="http://schemas.openxmlformats.org/officeDocument/2006/relationships/theme" Target="/xl/theme/theme1.xml" Id="R74a0ff15b24d4787" /><Relationship Type="http://schemas.openxmlformats.org/officeDocument/2006/relationships/sharedStrings" Target="/xl/sharedStrings.xml" Id="R4f889358a5ab4eb8" /><Relationship Type="http://schemas.openxmlformats.org/officeDocument/2006/relationships/worksheet" Target="/xl/worksheets/sheet1.xml" Id="R5bd912c0596440bb" /><Relationship Type="http://schemas.openxmlformats.org/officeDocument/2006/relationships/worksheet" Target="/xl/worksheets/sheet2.xml" Id="R22bedfab903f4c20" /><Relationship Type="http://schemas.openxmlformats.org/officeDocument/2006/relationships/worksheet" Target="/xl/worksheets/sheet3.xml" Id="R2bc8d109b7b846f0" /><Relationship Type="http://schemas.openxmlformats.org/officeDocument/2006/relationships/worksheet" Target="/xl/worksheets/sheet4.xml" Id="Rcb1af89e36384681" /><Relationship Type="http://schemas.openxmlformats.org/officeDocument/2006/relationships/worksheet" Target="/xl/worksheets/sheet5.xml" Id="Rdc4c7396c11d4a18" /><Relationship Type="http://schemas.openxmlformats.org/officeDocument/2006/relationships/worksheet" Target="/xl/worksheets/sheet6.xml" Id="R87f4aa5518284d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21" hidden="0" customWidth="1"/>
  </x:cols>
  <x:sheetData>
    <x:row r="1" ht="26" customHeight="1">
      <x:c r="A1" s="14" t="str">
        <x:v>Contractor Quote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Vendor</x:v>
      </x:c>
      <x:c r="B4" s="12" t="str">
        <x:v>Moss Ridge Contractors</x:v>
      </x:c>
      <x:c r="C4" s="15"/>
    </x:row>
    <x:row r="5">
      <x:c r="A5" s="12" t="str">
        <x:v>Quote ID</x:v>
      </x:c>
      <x:c r="B5" s="12" t="str">
        <x:v>QT-7781</x:v>
      </x:c>
      <x:c r="C5" s="15"/>
    </x:row>
    <x:row r="6">
      <x:c r="A6" s="12" t="str">
        <x:v>Customer</x:v>
      </x:c>
      <x:c r="B6" s="12" t="str">
        <x:v>Northstar Operations</x:v>
      </x:c>
      <x:c r="C6" s="15"/>
    </x:row>
    <x:row r="7">
      <x:c r="A7" s="12" t="str">
        <x:v>Quote date</x:v>
      </x:c>
      <x:c r="B7" s="12" t="str">
        <x:v>2026-06-15</x:v>
      </x:c>
      <x:c r="C7" s="15"/>
    </x:row>
    <x:row r="8">
      <x:c r="A8" s="12" t="str">
        <x:v>Valid through</x:v>
      </x:c>
      <x:c r="B8" s="12" t="str">
        <x:v>2026-07-15</x:v>
      </x:c>
      <x:c r="C8" s="15"/>
    </x:row>
    <x:row r="9">
      <x:c r="A9" s="12" t="str">
        <x:v>Currency</x:v>
      </x:c>
      <x:c r="B9" s="12" t="str">
        <x:v>USD</x:v>
      </x:c>
      <x:c r="C9" s="15"/>
    </x:row>
    <x:row r="10">
      <x:c r="A10" s="15"/>
      <x:c r="B10" s="15"/>
      <x:c r="C10" s="15"/>
    </x:row>
    <x:row r="11">
      <x:c r="A11" s="9" t="str">
        <x:v>Calculation</x:v>
      </x:c>
      <x:c r="B11" s="9" t="str">
        <x:v>Value</x:v>
      </x:c>
      <x:c r="C11" s="15"/>
    </x:row>
    <x:row r="12">
      <x:c r="A12" s="12" t="str">
        <x:v>Base scope subtotal</x:v>
      </x:c>
      <x:c r="B12" s="13" t="n">
        <x:f>SUM('Groups'!B4:B4)</x:f>
        <x:v>2240</x:v>
      </x:c>
      <x:c r="C12" s="15"/>
    </x:row>
    <x:row r="13">
      <x:c r="A13" s="12" t="str">
        <x:v>Discount</x:v>
      </x:c>
      <x:c r="B13" s="13" t="n">
        <x:f>B12*0.06</x:f>
        <x:v>134.4</x:v>
      </x:c>
      <x:c r="C13" s="15"/>
    </x:row>
    <x:row r="14">
      <x:c r="A14" s="12" t="str">
        <x:v>Tax</x:v>
      </x:c>
      <x:c r="B14" s="13" t="n">
        <x:f>(B12-B13)*0.075</x:f>
        <x:v>157.92</x:v>
      </x:c>
      <x:c r="C14" s="15"/>
    </x:row>
    <x:row r="15">
      <x:c r="A15" s="12" t="str">
        <x:v>Base-scope total</x:v>
      </x:c>
      <x:c r="B15" s="13" t="n">
        <x:v>2240</x:v>
      </x:c>
      <x:c r="C15" s="15"/>
    </x:row>
    <x:row r="16">
      <x:c r="A16" s="12" t="str">
        <x:v>Optional alternate (excluded)</x:v>
      </x:c>
      <x:c r="B16" s="13" t="n">
        <x:f>'Alternates'!C4</x:f>
        <x:v>310</x:v>
      </x:c>
      <x:c r="C16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7" hidden="0" customWidth="1"/>
    <x:col min="4" max="4" width="24" hidden="0" customWidth="1"/>
  </x:cols>
  <x:sheetData>
    <x:row r="1" ht="26" customHeight="1">
      <x:c r="A1" s="14" t="str">
        <x:v>Quoted Scope Groups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Group</x:v>
      </x:c>
      <x:c r="B3" s="9" t="str">
        <x:v>Amount</x:v>
      </x:c>
      <x:c r="C3" s="9" t="str">
        <x:v>Included in base total</x:v>
      </x:c>
      <x:c r="D3" s="9" t="str">
        <x:v>Document</x:v>
      </x:c>
    </x:row>
    <x:row r="4">
      <x:c r="A4" s="12" t="str">
        <x:v>Base scope</x:v>
      </x:c>
      <x:c r="B4" s="13" t="n">
        <x:f>'Line_Items'!E4+'Line_Items'!E5</x:f>
        <x:v>2240</x:v>
      </x:c>
      <x:c r="C4" s="12" t="str">
        <x:v>Yes</x:v>
      </x:c>
      <x:c r="D4" s="12" t="str">
        <x:v>quote_scan.png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5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</x:cols>
  <x:sheetData>
    <x:row r="1" ht="26" customHeight="1">
      <x:c r="A1" s="14" t="str">
        <x:v>Quote Scope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Group</x:v>
      </x:c>
      <x:c r="D3" s="9" t="str">
        <x:v>Optional</x:v>
      </x:c>
      <x:c r="E3" s="9" t="str">
        <x:v>Amount</x:v>
      </x:c>
      <x:c r="F3" s="9" t="str">
        <x:v>Source page</x:v>
      </x:c>
      <x:c r="G3" s="9" t="str">
        <x:v>Text locator</x:v>
      </x:c>
    </x:row>
    <x:row r="4">
      <x:c r="A4" s="12" t="str">
        <x:v>Q-01</x:v>
      </x:c>
      <x:c r="B4" s="12" t="str">
        <x:v>Equipment foundation package</x:v>
      </x:c>
      <x:c r="C4" s="12" t="str">
        <x:v>Base scope</x:v>
      </x:c>
      <x:c r="D4" s="12" t="str">
        <x:v>No</x:v>
      </x:c>
      <x:c r="E4" s="13" t="n">
        <x:v>1400</x:v>
      </x:c>
      <x:c r="F4" s="12" t="n">
        <x:v>1</x:v>
      </x:c>
      <x:c r="G4" s="12" t="str">
        <x:v>quote_scan.png:base-scope-1</x:v>
      </x:c>
    </x:row>
    <x:row r="5">
      <x:c r="A5" s="12" t="str">
        <x:v>Q-02</x:v>
      </x:c>
      <x:c r="B5" s="12" t="str">
        <x:v>Site mobilization</x:v>
      </x:c>
      <x:c r="C5" s="12" t="str">
        <x:v>Base scope</x:v>
      </x:c>
      <x:c r="D5" s="12" t="str">
        <x:v>No</x:v>
      </x:c>
      <x:c r="E5" s="13" t="n">
        <x:v>840</x:v>
      </x:c>
      <x:c r="F5" s="12" t="n">
        <x:v>1</x:v>
      </x:c>
      <x:c r="G5" s="12" t="str">
        <x:v>quote_scan.png:base-scope-2</x:v>
      </x:c>
    </x:row>
    <x:row r="6">
      <x:c r="A6" s="12" t="str">
        <x:v>Q-03</x:v>
      </x:c>
      <x:c r="B6" s="12" t="str">
        <x:v>Extended warranty</x:v>
      </x:c>
      <x:c r="C6" s="12" t="str">
        <x:v>Optional alternate</x:v>
      </x:c>
      <x:c r="D6" s="12" t="str">
        <x:v>Yes</x:v>
      </x:c>
      <x:c r="E6" s="13" t="n">
        <x:v>310</x:v>
      </x:c>
      <x:c r="F6" s="12" t="n">
        <x:v>1</x:v>
      </x:c>
      <x:c r="G6" s="12" t="str">
        <x:v>quote_scan.png:alternate-1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18" hidden="0" customWidth="1"/>
    <x:col min="4" max="4" width="22" hidden="0" customWidth="1"/>
  </x:cols>
  <x:sheetData>
    <x:row r="1" ht="26" customHeight="1">
      <x:c r="A1" s="14" t="str">
        <x:v>Optional Alternates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Line ID</x:v>
      </x:c>
      <x:c r="B3" s="9" t="str">
        <x:v>Description</x:v>
      </x:c>
      <x:c r="C3" s="9" t="str">
        <x:v>Amount</x:v>
      </x:c>
      <x:c r="D3" s="9" t="str">
        <x:v>Include in base</x:v>
      </x:c>
    </x:row>
    <x:row r="4">
      <x:c r="A4" s="12" t="str">
        <x:v>Q-03</x:v>
      </x:c>
      <x:c r="B4" s="12" t="str">
        <x:v>Extended warranty</x:v>
      </x:c>
      <x:c r="C4" s="13" t="n">
        <x:v>310</x:v>
      </x:c>
      <x:c r="D4" s="12" t="str">
        <x:v>No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40" hidden="0" customWidth="1"/>
    <x:col min="5" max="5" width="18" hidden="0" customWidth="1"/>
  </x:cols>
  <x:sheetData>
    <x:row r="1" ht="26" customHeight="1">
      <x:c r="A1" s="14" t="str">
        <x:v>Quote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Q-01</x:v>
      </x:c>
      <x:c r="B4" s="12" t="str">
        <x:v>quote_scan.png</x:v>
      </x:c>
      <x:c r="C4" s="12" t="n">
        <x:v>1</x:v>
      </x:c>
      <x:c r="D4" s="12" t="str">
        <x:v>quote_scan.png:base-scope-1</x:v>
      </x:c>
      <x:c r="E4" s="12" t="str">
        <x:v>Line_Items!4</x:v>
      </x:c>
    </x:row>
    <x:row r="5">
      <x:c r="A5" s="12" t="str">
        <x:v>Q-02</x:v>
      </x:c>
      <x:c r="B5" s="12" t="str">
        <x:v>quote_scan.png</x:v>
      </x:c>
      <x:c r="C5" s="12" t="n">
        <x:v>1</x:v>
      </x:c>
      <x:c r="D5" s="12" t="str">
        <x:v>quote_scan.png:base-scope-2</x:v>
      </x:c>
      <x:c r="E5" s="12" t="str">
        <x:v>Line_Items!5</x:v>
      </x:c>
    </x:row>
    <x:row r="6">
      <x:c r="A6" s="12" t="str">
        <x:v>Q-03</x:v>
      </x:c>
      <x:c r="B6" s="12" t="str">
        <x:v>quote_scan.png</x:v>
      </x:c>
      <x:c r="C6" s="12" t="n">
        <x:v>1</x:v>
      </x:c>
      <x:c r="D6" s="12" t="str">
        <x:v>quote_scan.png:alternate-1</x:v>
      </x:c>
      <x:c r="E6" s="12" t="str">
        <x:v>Line_Items!6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Quote Normalization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Base-scope lines</x:v>
      </x:c>
      <x:c r="B4" s="12" t="n">
        <x:f>1+1</x:f>
        <x:v>2</x:v>
      </x:c>
      <x:c r="C4" s="12" t="n">
        <x:v>2</x:v>
      </x:c>
      <x:c r="D4" s="12" t="str">
        <x:v>Optional alternate excluded</x:v>
      </x:c>
    </x:row>
    <x:row r="5">
      <x:c r="A5" s="12" t="str">
        <x:v>Optional alternates</x:v>
      </x:c>
      <x:c r="B5" s="12" t="n">
        <x:f>1</x:f>
        <x:v>1</x:v>
      </x:c>
      <x:c r="C5" s="12" t="n">
        <x:v>1</x:v>
      </x:c>
      <x:c r="D5" s="12" t="str">
        <x:v>Retained separately</x:v>
      </x:c>
    </x:row>
    <x:row r="6">
      <x:c r="A6" s="12" t="str">
        <x:v>Base-scope total</x:v>
      </x:c>
      <x:c r="B6" s="13" t="n">
        <x:f>'Quote_Header'!B15</x:f>
        <x:v>2240</x:v>
      </x:c>
      <x:c r="C6" s="13" t="n">
        <x:v>2263.52</x:v>
      </x:c>
      <x:c r="D6" s="12" t="str">
        <x:v>Discount and tax applied</x:v>
      </x:c>
    </x:row>
  </x:sheetData>
  <x:mergeCells>
    <x:mergeCell ref="A1:D1"/>
  </x:mergeCells>
  <x:pageMargins left="0.7" right="0.7" top="0.75" bottom="0.75" header="0.3" footer="0.3"/>
</x:worksheet>
</file>