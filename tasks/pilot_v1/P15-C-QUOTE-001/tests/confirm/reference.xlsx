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fea4ef69b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4386c645d0ad422c"/>
    <x:sheet xmlns:r="http://schemas.openxmlformats.org/officeDocument/2006/relationships" name="Groups" sheetId="2" r:id="Rcd699a6816a145f2"/>
    <x:sheet xmlns:r="http://schemas.openxmlformats.org/officeDocument/2006/relationships" name="Line_Items" sheetId="3" r:id="R489c0e292b9641d8"/>
    <x:sheet xmlns:r="http://schemas.openxmlformats.org/officeDocument/2006/relationships" name="Alternates" sheetId="4" r:id="R1154128ea391419d"/>
    <x:sheet xmlns:r="http://schemas.openxmlformats.org/officeDocument/2006/relationships" name="Provenance" sheetId="5" r:id="R3847a1d2d2b24548"/>
    <x:sheet xmlns:r="http://schemas.openxmlformats.org/officeDocument/2006/relationships" name="Checks" sheetId="6" r:id="R6fcbe76e71bc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1d7f6f1c84a13" /><Relationship Type="http://schemas.openxmlformats.org/officeDocument/2006/relationships/theme" Target="/xl/theme/theme1.xml" Id="R349c48415df84dd7" /><Relationship Type="http://schemas.openxmlformats.org/officeDocument/2006/relationships/sharedStrings" Target="/xl/sharedStrings.xml" Id="R52bdf3dbbaf24ed6" /><Relationship Type="http://schemas.openxmlformats.org/officeDocument/2006/relationships/worksheet" Target="/xl/worksheets/sheet1.xml" Id="R4386c645d0ad422c" /><Relationship Type="http://schemas.openxmlformats.org/officeDocument/2006/relationships/worksheet" Target="/xl/worksheets/sheet2.xml" Id="Rcd699a6816a145f2" /><Relationship Type="http://schemas.openxmlformats.org/officeDocument/2006/relationships/worksheet" Target="/xl/worksheets/sheet3.xml" Id="R489c0e292b9641d8" /><Relationship Type="http://schemas.openxmlformats.org/officeDocument/2006/relationships/worksheet" Target="/xl/worksheets/sheet4.xml" Id="R1154128ea391419d" /><Relationship Type="http://schemas.openxmlformats.org/officeDocument/2006/relationships/worksheet" Target="/xl/worksheets/sheet5.xml" Id="R3847a1d2d2b24548" /><Relationship Type="http://schemas.openxmlformats.org/officeDocument/2006/relationships/worksheet" Target="/xl/worksheets/sheet6.xml" Id="R6fcbe76e71bc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 t="str">
        <x:v>Granite Peak Facilities</x:v>
      </x:c>
      <x:c r="C4" s="15"/>
    </x:row>
    <x:row r="5">
      <x:c r="A5" s="12" t="str">
        <x:v>Quote ID</x:v>
      </x:c>
      <x:c r="B5" s="12" t="str">
        <x:v>QT-9412</x:v>
      </x:c>
      <x:c r="C5" s="15"/>
    </x:row>
    <x:row r="6">
      <x:c r="A6" s="12" t="str">
        <x:v>Customer</x:v>
      </x:c>
      <x:c r="B6" s="12" t="str">
        <x:v>Brightwell Water District</x:v>
      </x:c>
      <x:c r="C6" s="15"/>
    </x:row>
    <x:row r="7">
      <x:c r="A7" s="12" t="str">
        <x:v>Quote date</x:v>
      </x:c>
      <x:c r="B7" s="12" t="str">
        <x:v>2026-07-06</x:v>
      </x:c>
      <x:c r="C7" s="15"/>
    </x:row>
    <x:row r="8">
      <x:c r="A8" s="12" t="str">
        <x:v>Valid through</x:v>
      </x:c>
      <x:c r="B8" s="12" t="str">
        <x:v>2026-08-05</x:v>
      </x:c>
      <x:c r="C8" s="15"/>
    </x:row>
    <x:row r="9">
      <x:c r="A9" s="12" t="str">
        <x:v>Currency</x:v>
      </x:c>
      <x:c r="B9" s="12" t="str">
        <x:v>USD</x:v>
      </x:c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 t="n">
        <x:f>'Groups'!B4</x:f>
        <x:v>2675</x:v>
      </x:c>
      <x:c r="C12" s="15"/>
    </x:row>
    <x:row r="13">
      <x:c r="A13" s="12" t="str">
        <x:v>Discount</x:v>
      </x:c>
      <x:c r="B13" s="13" t="n">
        <x:f>B12*0.05</x:f>
        <x:v>133.75</x:v>
      </x:c>
      <x:c r="C13" s="15"/>
    </x:row>
    <x:row r="14">
      <x:c r="A14" s="12" t="str">
        <x:v>Tax</x:v>
      </x:c>
      <x:c r="B14" s="13" t="n">
        <x:f>(B12-B13)*0.0725</x:f>
        <x:v>184.240625</x:v>
      </x:c>
      <x:c r="C14" s="15"/>
    </x:row>
    <x:row r="15">
      <x:c r="A15" s="12" t="str">
        <x:v>Base-scope total</x:v>
      </x:c>
      <x:c r="B15" s="13" t="n">
        <x:f>B12-B13+B14</x:f>
        <x:v>2725.490625</x:v>
      </x:c>
      <x:c r="C15" s="15"/>
    </x:row>
    <x:row r="16">
      <x:c r="A16" s="12" t="str">
        <x:v>Optional alternate (excluded)</x:v>
      </x:c>
      <x:c r="B16" s="13" t="n">
        <x:f>'Alternates'!C4</x:f>
        <x:v>420</x:v>
      </x:c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 t="str">
        <x:v>Base scope</x:v>
      </x:c>
      <x:c r="B4" s="13" t="n">
        <x:f>'Line_Items'!E4+'Line_Items'!E5</x:f>
        <x:v>2675</x:v>
      </x:c>
      <x:c r="C4" s="12" t="str">
        <x:v>Yes</x:v>
      </x:c>
      <x:c r="D4" s="12" t="str">
        <x:v>confirm_quote_scan.png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 t="str">
        <x:v>CQ-01</x:v>
      </x:c>
      <x:c r="B4" s="12" t="str">
        <x:v>Pump pad retrofit</x:v>
      </x:c>
      <x:c r="C4" s="12" t="str">
        <x:v>Base scope</x:v>
      </x:c>
      <x:c r="D4" s="12" t="str">
        <x:v>No</x:v>
      </x:c>
      <x:c r="E4" s="13" t="n">
        <x:v>1750</x:v>
      </x:c>
      <x:c r="F4" s="12" t="n">
        <x:v>1</x:v>
      </x:c>
      <x:c r="G4" s="12" t="str">
        <x:v>confirm_quote_scan.png:base-pump-pad</x:v>
      </x:c>
    </x:row>
    <x:row r="5">
      <x:c r="A5" s="12" t="str">
        <x:v>CQ-02</x:v>
      </x:c>
      <x:c r="B5" s="12" t="str">
        <x:v>Electrical mobilization</x:v>
      </x:c>
      <x:c r="C5" s="12" t="str">
        <x:v>Base scope</x:v>
      </x:c>
      <x:c r="D5" s="12" t="str">
        <x:v>No</x:v>
      </x:c>
      <x:c r="E5" s="13" t="n">
        <x:v>925</x:v>
      </x:c>
      <x:c r="F5" s="12" t="n">
        <x:v>1</x:v>
      </x:c>
      <x:c r="G5" s="12" t="str">
        <x:v>confirm_quote_scan.png:base-electrical</x:v>
      </x:c>
    </x:row>
    <x:row r="6">
      <x:c r="A6" s="12" t="str">
        <x:v>CQ-03</x:v>
      </x:c>
      <x:c r="B6" s="12" t="str">
        <x:v>Two-year service plan</x:v>
      </x:c>
      <x:c r="C6" s="12" t="str">
        <x:v>Optional alternate</x:v>
      </x:c>
      <x:c r="D6" s="12" t="str">
        <x:v>Yes</x:v>
      </x:c>
      <x:c r="E6" s="13" t="n">
        <x:v>420</x:v>
      </x:c>
      <x:c r="F6" s="12" t="n">
        <x:v>1</x:v>
      </x:c>
      <x:c r="G6" s="12" t="str">
        <x:v>confirm_quote_scan.png:alternate-service-plan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 t="str">
        <x:v>CQ-03</x:v>
      </x:c>
      <x:c r="B4" s="12" t="str">
        <x:v>Two-year service plan</x:v>
      </x:c>
      <x:c r="C4" s="13" t="n">
        <x:v>420</x:v>
      </x:c>
      <x:c r="D4" s="12" t="str">
        <x:v>No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CQ-01</x:v>
      </x:c>
      <x:c r="B4" s="12" t="str">
        <x:v>confirm_quote_scan.png</x:v>
      </x:c>
      <x:c r="C4" s="12" t="n">
        <x:v>1</x:v>
      </x:c>
      <x:c r="D4" s="12" t="str">
        <x:v>confirm_quote_scan.png:base-pump-pad</x:v>
      </x:c>
      <x:c r="E4" s="12" t="str">
        <x:v>Line_Items!4</x:v>
      </x:c>
    </x:row>
    <x:row r="5">
      <x:c r="A5" s="12" t="str">
        <x:v>CQ-02</x:v>
      </x:c>
      <x:c r="B5" s="12" t="str">
        <x:v>confirm_quote_scan.png</x:v>
      </x:c>
      <x:c r="C5" s="12" t="n">
        <x:v>1</x:v>
      </x:c>
      <x:c r="D5" s="12" t="str">
        <x:v>confirm_quote_scan.png:base-electrical</x:v>
      </x:c>
      <x:c r="E5" s="12" t="str">
        <x:v>Line_Items!5</x:v>
      </x:c>
    </x:row>
    <x:row r="6">
      <x:c r="A6" s="12" t="str">
        <x:v>CQ-03</x:v>
      </x:c>
      <x:c r="B6" s="12" t="str">
        <x:v>confirm_quote_scan.png</x:v>
      </x:c>
      <x:c r="C6" s="12" t="n">
        <x:v>1</x:v>
      </x:c>
      <x:c r="D6" s="12" t="str">
        <x:v>confirm_quote_scan.png:alternate-service-plan</x:v>
      </x:c>
      <x:c r="E6" s="12" t="str">
        <x:v>Line_Items!6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 t="n">
        <x:f>1+1</x:f>
        <x:v>2</x:v>
      </x:c>
      <x:c r="C4" s="12" t="n">
        <x:v>2</x:v>
      </x:c>
      <x:c r="D4" s="12" t="str">
        <x:v>Optional alternate excluded</x:v>
      </x:c>
    </x:row>
    <x:row r="5">
      <x:c r="A5" s="12" t="str">
        <x:v>Optional alternates</x:v>
      </x:c>
      <x:c r="B5" s="12" t="n">
        <x:f>1</x:f>
        <x:v>1</x:v>
      </x:c>
      <x:c r="C5" s="12" t="n">
        <x:v>1</x:v>
      </x:c>
      <x:c r="D5" s="12" t="str">
        <x:v>Retained separately</x:v>
      </x:c>
    </x:row>
    <x:row r="6">
      <x:c r="A6" s="12" t="str">
        <x:v>Base-scope total</x:v>
      </x:c>
      <x:c r="B6" s="13" t="n">
        <x:f>'Quote_Header'!B15</x:f>
        <x:v>2725.490625</x:v>
      </x:c>
      <x:c r="C6" s="13" t="n">
        <x:v>2725.49</x:v>
      </x:c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