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95248e98b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10f68d1ed8e64a5f"/>
    <x:sheet xmlns:r="http://schemas.openxmlformats.org/officeDocument/2006/relationships" name="Product_Master" sheetId="2" r:id="Rdb5668ce9de24d46"/>
    <x:sheet xmlns:r="http://schemas.openxmlformats.org/officeDocument/2006/relationships" name="Location_Master" sheetId="3" r:id="R8aa918d305ee4f2e"/>
    <x:sheet xmlns:r="http://schemas.openxmlformats.org/officeDocument/2006/relationships" name="Clean_Data" sheetId="4" r:id="R1fd85cbaa1d6421b"/>
    <x:sheet xmlns:r="http://schemas.openxmlformats.org/officeDocument/2006/relationships" name="Joined_Data" sheetId="5" r:id="R3302212ea46b4e86"/>
    <x:sheet xmlns:r="http://schemas.openxmlformats.org/officeDocument/2006/relationships" name="Exceptions" sheetId="6" r:id="R8b2f1cb195e64ce8"/>
    <x:sheet xmlns:r="http://schemas.openxmlformats.org/officeDocument/2006/relationships" name="Summary" sheetId="7" r:id="Rd8afbdf2686648d8"/>
    <x:sheet xmlns:r="http://schemas.openxmlformats.org/officeDocument/2006/relationships" name="Checks" sheetId="8" r:id="Raf8e54534966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99623538c4e0a" /><Relationship Type="http://schemas.openxmlformats.org/officeDocument/2006/relationships/theme" Target="/xl/theme/theme1.xml" Id="R4367073f1d374bc0" /><Relationship Type="http://schemas.openxmlformats.org/officeDocument/2006/relationships/sharedStrings" Target="/xl/sharedStrings.xml" Id="Rf24936e91f0e46b4" /><Relationship Type="http://schemas.openxmlformats.org/officeDocument/2006/relationships/worksheet" Target="/xl/worksheets/sheet1.xml" Id="R10f68d1ed8e64a5f" /><Relationship Type="http://schemas.openxmlformats.org/officeDocument/2006/relationships/worksheet" Target="/xl/worksheets/sheet2.xml" Id="Rdb5668ce9de24d46" /><Relationship Type="http://schemas.openxmlformats.org/officeDocument/2006/relationships/worksheet" Target="/xl/worksheets/sheet3.xml" Id="R8aa918d305ee4f2e" /><Relationship Type="http://schemas.openxmlformats.org/officeDocument/2006/relationships/worksheet" Target="/xl/worksheets/sheet4.xml" Id="R1fd85cbaa1d6421b" /><Relationship Type="http://schemas.openxmlformats.org/officeDocument/2006/relationships/worksheet" Target="/xl/worksheets/sheet5.xml" Id="R3302212ea46b4e86" /><Relationship Type="http://schemas.openxmlformats.org/officeDocument/2006/relationships/worksheet" Target="/xl/worksheets/sheet6.xml" Id="R8b2f1cb195e64ce8" /><Relationship Type="http://schemas.openxmlformats.org/officeDocument/2006/relationships/worksheet" Target="/xl/worksheets/sheet7.xml" Id="Rd8afbdf2686648d8" /><Relationship Type="http://schemas.openxmlformats.org/officeDocument/2006/relationships/worksheet" Target="/xl/worksheets/sheet8.xml" Id="Raf8e545349664e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WO-210</x:v>
      </x:c>
      <x:c r="B4" s="12" t="str">
        <x:v> sku-410 </x:v>
      </x:c>
      <x:c r="C4" s="12" t="str">
        <x:v>ca-02</x:v>
      </x:c>
      <x:c r="D4" s="12" t="n">
        <x:v>12</x:v>
      </x:c>
      <x:c r="E4" s="12" t="str">
        <x:v>2024-09-09</x:v>
      </x:c>
    </x:row>
    <x:row r="5">
      <x:c r="A5" s="12" t="str">
        <x:v>WO-211</x:v>
      </x:c>
      <x:c r="B5" s="12" t="str">
        <x:v>SKU-520</x:v>
      </x:c>
      <x:c r="C5" s="12" t="str">
        <x:v>IL-07</x:v>
      </x:c>
      <x:c r="D5" s="12" t="n">
        <x:v>3</x:v>
      </x:c>
      <x:c r="E5" s="12" t="str">
        <x:v>2024-09-10</x:v>
      </x:c>
    </x:row>
    <x:row r="6">
      <x:c r="A6" s="12" t="str">
        <x:v>WO-212</x:v>
      </x:c>
      <x:c r="B6" s="12" t="str">
        <x:v>SKU-630</x:v>
      </x:c>
      <x:c r="C6" s="12" t="str">
        <x:v>CA-02</x:v>
      </x:c>
      <x:c r="D6" s="12" t="n">
        <x:v>20</x:v>
      </x:c>
      <x:c r="E6" s="12" t="str">
        <x:v>2024-09-11</x:v>
      </x:c>
    </x:row>
    <x:row r="7">
      <x:c r="A7" s="12" t="str">
        <x:v>WO-213</x:v>
      </x:c>
      <x:c r="B7" s="12" t="str">
        <x:v>SKU-888</x:v>
      </x:c>
      <x:c r="C7" s="12" t="str">
        <x:v>IL-07</x:v>
      </x:c>
      <x:c r="D7" s="12" t="n">
        <x:v>2</x:v>
      </x:c>
      <x:c r="E7" s="12" t="str">
        <x:v>2024-09-12</x:v>
      </x:c>
    </x:row>
    <x:row r="8">
      <x:c r="A8" s="12" t="str">
        <x:v>WO-214</x:v>
      </x:c>
      <x:c r="B8" s="12" t="str">
        <x:v>SKU-410</x:v>
      </x:c>
      <x:c r="C8" s="12" t="str">
        <x:v>XX-01</x:v>
      </x:c>
      <x:c r="D8" s="12" t="n">
        <x:v>7</x:v>
      </x:c>
      <x:c r="E8" s="12" t="str">
        <x:v>2024-09-13</x:v>
      </x:c>
    </x:row>
    <x:row r="9">
      <x:c r="A9" s="12" t="str">
        <x:v>WO-215</x:v>
      </x:c>
      <x:c r="B9" s="12" t="str">
        <x:v>sku-520 </x:v>
      </x:c>
      <x:c r="C9" s="12" t="str">
        <x:v>il-07</x:v>
      </x:c>
      <x:c r="D9" s="12" t="n">
        <x:v>3</x:v>
      </x:c>
      <x:c r="E9" s="12" t="str">
        <x:v>2024-09-10</x:v>
      </x:c>
    </x:row>
    <x:row r="10">
      <x:c r="A10" s="12" t="str">
        <x:v>WO-216</x:v>
      </x:c>
      <x:c r="B10" s="12" t="str">
        <x:v>SKU-630</x:v>
      </x:c>
      <x:c r="C10" s="12" t="str">
        <x:v>CA-02</x:v>
      </x:c>
      <x:c r="D10" s="12" t="str">
        <x:v>twenty</x:v>
      </x:c>
      <x:c r="E10" s="12" t="str">
        <x:v>2024-09-14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SKU-410</x:v>
      </x:c>
      <x:c r="B4" s="12" t="str">
        <x:v>Pump assembly</x:v>
      </x:c>
      <x:c r="C4" s="12" t="str">
        <x:v>Mechanical</x:v>
      </x:c>
      <x:c r="D4" s="15" t="n">
        <x:v>275</x:v>
      </x:c>
    </x:row>
    <x:row r="5">
      <x:c r="A5" s="12" t="str">
        <x:v>SKU-520</x:v>
      </x:c>
      <x:c r="B5" s="12" t="str">
        <x:v>Control relay</x:v>
      </x:c>
      <x:c r="C5" s="12" t="str">
        <x:v>Electrical</x:v>
      </x:c>
      <x:c r="D5" s="15" t="n">
        <x:v>630</x:v>
      </x:c>
    </x:row>
    <x:row r="6">
      <x:c r="A6" s="12" t="str">
        <x:v>SKU-630</x:v>
      </x:c>
      <x:c r="B6" s="12" t="str">
        <x:v>Seal pack</x:v>
      </x:c>
      <x:c r="C6" s="12" t="str">
        <x:v>Consumables</x:v>
      </x:c>
      <x:c r="D6" s="15" t="n">
        <x:v>45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CA-02</x:v>
      </x:c>
      <x:c r="B4" s="12" t="str">
        <x:v>West</x:v>
      </x:c>
      <x:c r="C4" s="12" t="str">
        <x:v>US</x:v>
      </x:c>
    </x:row>
    <x:row r="5">
      <x:c r="A5" s="12" t="str">
        <x:v>IL-07</x:v>
      </x:c>
      <x:c r="B5" s="12" t="str">
        <x:v>Midwest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 t="str">
        <x:v>WO-210</x:v>
      </x:c>
      <x:c r="B4" s="12" t="str">
        <x:v>SKU-410</x:v>
      </x:c>
      <x:c r="C4" s="12" t="str">
        <x:v>CA-02</x:v>
      </x:c>
      <x:c r="D4" s="12" t="n">
        <x:f>'Raw_Orders'!D4</x:f>
        <x:v>12</x:v>
      </x:c>
      <x:c r="E4" s="12" t="str">
        <x:v>No</x:v>
      </x:c>
      <x:c r="F4" s="12" t="str">
        <x:v>Yes</x:v>
      </x:c>
      <x:c r="G4" s="12" t="str">
        <x:v>Yes</x:v>
      </x:c>
      <x:c r="H4" s="12" t="str">
        <x:v>Join</x:v>
      </x:c>
    </x:row>
    <x:row r="5">
      <x:c r="A5" s="12" t="str">
        <x:v>WO-211</x:v>
      </x:c>
      <x:c r="B5" s="12" t="str">
        <x:v>SKU-520</x:v>
      </x:c>
      <x:c r="C5" s="12" t="str">
        <x:v>IL-07</x:v>
      </x:c>
      <x:c r="D5" s="12" t="n">
        <x:f>'Raw_Orders'!D5</x:f>
        <x:v>3</x:v>
      </x:c>
      <x:c r="E5" s="12" t="str">
        <x:v>No</x:v>
      </x:c>
      <x:c r="F5" s="12" t="str">
        <x:v>Yes</x:v>
      </x:c>
      <x:c r="G5" s="12" t="str">
        <x:v>Yes</x:v>
      </x:c>
      <x:c r="H5" s="12" t="str">
        <x:v>Join</x:v>
      </x:c>
    </x:row>
    <x:row r="6">
      <x:c r="A6" s="12" t="str">
        <x:v>WO-212</x:v>
      </x:c>
      <x:c r="B6" s="12" t="str">
        <x:v>SKU-630</x:v>
      </x:c>
      <x:c r="C6" s="12" t="str">
        <x:v>CA-02</x:v>
      </x:c>
      <x:c r="D6" s="12" t="n">
        <x:f>'Raw_Orders'!D6</x:f>
        <x:v>20</x:v>
      </x:c>
      <x:c r="E6" s="12" t="str">
        <x:v>No</x:v>
      </x:c>
      <x:c r="F6" s="12" t="str">
        <x:v>Yes</x:v>
      </x:c>
      <x:c r="G6" s="12" t="str">
        <x:v>Yes</x:v>
      </x:c>
      <x:c r="H6" s="12" t="str">
        <x:v>Join</x:v>
      </x:c>
    </x:row>
    <x:row r="7">
      <x:c r="A7" s="12" t="str">
        <x:v>WO-213</x:v>
      </x:c>
      <x:c r="B7" s="12" t="str">
        <x:v>SKU-888</x:v>
      </x:c>
      <x:c r="C7" s="12" t="str">
        <x:v>IL-07</x:v>
      </x:c>
      <x:c r="D7" s="12" t="n">
        <x:v>2</x:v>
      </x:c>
      <x:c r="E7" s="12" t="str">
        <x:v>No</x:v>
      </x:c>
      <x:c r="F7" s="12" t="str">
        <x:v>No</x:v>
      </x:c>
      <x:c r="G7" s="12" t="str">
        <x:v>Yes</x:v>
      </x:c>
      <x:c r="H7" s="12" t="str">
        <x:v>Exception: unmatched product</x:v>
      </x:c>
    </x:row>
    <x:row r="8">
      <x:c r="A8" s="12" t="str">
        <x:v>WO-214</x:v>
      </x:c>
      <x:c r="B8" s="12" t="str">
        <x:v>SKU-410</x:v>
      </x:c>
      <x:c r="C8" s="12" t="str">
        <x:v>XX-01</x:v>
      </x:c>
      <x:c r="D8" s="12" t="n">
        <x:v>7</x:v>
      </x:c>
      <x:c r="E8" s="12" t="str">
        <x:v>No</x:v>
      </x:c>
      <x:c r="F8" s="12" t="str">
        <x:v>Yes</x:v>
      </x:c>
      <x:c r="G8" s="12" t="str">
        <x:v>No</x:v>
      </x:c>
      <x:c r="H8" s="12" t="str">
        <x:v>Exception: unmatched location</x:v>
      </x:c>
    </x:row>
    <x:row r="9">
      <x:c r="A9" s="12" t="str">
        <x:v>WO-215</x:v>
      </x:c>
      <x:c r="B9" s="12" t="str">
        <x:v>SKU-520</x:v>
      </x:c>
      <x:c r="C9" s="12" t="str">
        <x:v>IL-07</x:v>
      </x:c>
      <x:c r="D9" s="12" t="n">
        <x:v>3</x:v>
      </x:c>
      <x:c r="E9" s="12" t="str">
        <x:v>Yes</x:v>
      </x:c>
      <x:c r="F9" s="12" t="str">
        <x:v>Yes</x:v>
      </x:c>
      <x:c r="G9" s="12" t="str">
        <x:v>Yes</x:v>
      </x:c>
      <x:c r="H9" s="12" t="str">
        <x:v>Exception: exact duplicate</x:v>
      </x:c>
    </x:row>
    <x:row r="10">
      <x:c r="A10" s="12" t="str">
        <x:v>WO-216</x:v>
      </x:c>
      <x:c r="B10" s="12" t="str">
        <x:v>SKU-630</x:v>
      </x:c>
      <x:c r="C10" s="12" t="str">
        <x:v>CA-02</x:v>
      </x:c>
      <x:c r="D10" s="12"/>
      <x:c r="E10" s="12" t="str">
        <x:v>No</x:v>
      </x:c>
      <x:c r="F10" s="12" t="str">
        <x:v>Yes</x:v>
      </x:c>
      <x:c r="G10" s="12" t="str">
        <x:v>Yes</x:v>
      </x:c>
      <x:c r="H10" s="12" t="str">
        <x:v>Exception: invalid units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 t="str">
        <x:v>WO-210</x:v>
      </x:c>
      <x:c r="B4" s="12" t="str">
        <x:v>Pump assembly</x:v>
      </x:c>
      <x:c r="C4" s="12" t="str">
        <x:v>West</x:v>
      </x:c>
      <x:c r="D4" s="12" t="n">
        <x:f>'Clean_Data'!D4</x:f>
        <x:v>12</x:v>
      </x:c>
      <x:c r="E4" s="15" t="n">
        <x:f>'Product_Master'!D4</x:f>
        <x:v>275</x:v>
      </x:c>
      <x:c r="F4" s="15" t="n">
        <x:f>D4*E4</x:f>
        <x:v>3300</x:v>
      </x:c>
      <x:c r="G4" s="12" t="str">
        <x:v>WO-210</x:v>
      </x:c>
      <x:c r="H4" s="12" t="str">
        <x:v>Joined</x:v>
      </x:c>
    </x:row>
    <x:row r="5">
      <x:c r="A5" s="12" t="str">
        <x:v>WO-211</x:v>
      </x:c>
      <x:c r="B5" s="12" t="str">
        <x:v>Control relay</x:v>
      </x:c>
      <x:c r="C5" s="12" t="str">
        <x:v>Midwest</x:v>
      </x:c>
      <x:c r="D5" s="12" t="n">
        <x:f>'Clean_Data'!D5</x:f>
        <x:v>3</x:v>
      </x:c>
      <x:c r="E5" s="15" t="n">
        <x:f>'Product_Master'!D5</x:f>
        <x:v>630</x:v>
      </x:c>
      <x:c r="F5" s="15" t="n">
        <x:f>D5*E5</x:f>
        <x:v>1890</x:v>
      </x:c>
      <x:c r="G5" s="12" t="str">
        <x:v>WO-211</x:v>
      </x:c>
      <x:c r="H5" s="12" t="str">
        <x:v>Joined</x:v>
      </x:c>
    </x:row>
    <x:row r="6">
      <x:c r="A6" s="12" t="str">
        <x:v>WO-212</x:v>
      </x:c>
      <x:c r="B6" s="12" t="str">
        <x:v>Seal pack</x:v>
      </x:c>
      <x:c r="C6" s="12" t="str">
        <x:v>West</x:v>
      </x:c>
      <x:c r="D6" s="12" t="n">
        <x:f>'Clean_Data'!D6</x:f>
        <x:v>20</x:v>
      </x:c>
      <x:c r="E6" s="15" t="n">
        <x:f>'Product_Master'!D6</x:f>
        <x:v>45</x:v>
      </x:c>
      <x:c r="F6" s="15" t="n">
        <x:f>D6*E6</x:f>
        <x:v>900</x:v>
      </x:c>
      <x:c r="G6" s="12" t="str">
        <x:v>WO-212</x:v>
      </x:c>
      <x:c r="H6" s="12" t="str">
        <x:v>Joined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 t="str">
        <x:v>WO-213</x:v>
      </x:c>
      <x:c r="B4" s="12" t="str">
        <x:v>UNMATCHED_PRODUCT</x:v>
      </x:c>
      <x:c r="C4" s="12" t="str">
        <x:v>SKU-888 absent from Product_Master</x:v>
      </x:c>
      <x:c r="D4" s="12" t="str">
        <x:v>Retain for master-data review</x:v>
      </x:c>
    </x:row>
    <x:row r="5">
      <x:c r="A5" s="12" t="str">
        <x:v>WO-214</x:v>
      </x:c>
      <x:c r="B5" s="12" t="str">
        <x:v>UNMATCHED_LOCATION</x:v>
      </x:c>
      <x:c r="C5" s="12" t="str">
        <x:v>XX-01 absent from Location_Master</x:v>
      </x:c>
      <x:c r="D5" s="12" t="str">
        <x:v>Retain for location review</x:v>
      </x:c>
    </x:row>
    <x:row r="6">
      <x:c r="A6" s="12" t="str">
        <x:v>WO-215</x:v>
      </x:c>
      <x:c r="B6" s="12" t="str">
        <x:v>DUPLICATE</x:v>
      </x:c>
      <x:c r="C6" s="12" t="str">
        <x:v>Same normalized product/location/units/date as WO-211</x:v>
      </x:c>
      <x:c r="D6" s="12" t="str">
        <x:v>Exclude from joined totals</x:v>
      </x:c>
    </x:row>
    <x:row r="7">
      <x:c r="A7" s="12" t="str">
        <x:v>WO-216</x:v>
      </x:c>
      <x:c r="B7" s="12" t="str">
        <x:v>INVALID_UNITS</x:v>
      </x:c>
      <x:c r="C7" s="12" t="str">
        <x:v>Units value 'twenty' is non-numeric</x:v>
      </x:c>
      <x:c r="D7" s="12" t="str">
        <x:v>Retain for source correction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 t="n">
        <x:f>IF('Joined_Data'!A4&lt;&gt;"",1,0)+IF('Joined_Data'!A5&lt;&gt;"",1,0)+IF('Joined_Data'!A6&lt;&gt;"",1,0)</x:f>
        <x:v>3</x:v>
      </x:c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 t="n">
        <x:f>SUM('Joined_Data'!F4:F6)</x:f>
        <x:v>6090</x:v>
      </x:c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 t="n">
        <x:f>IF('Exceptions'!A4&lt;&gt;"",1,0)+IF('Exceptions'!A5&lt;&gt;"",1,0)+IF('Exceptions'!A6&lt;&gt;"",1,0)+IF('Exceptions'!A7&lt;&gt;"",1,0)</x:f>
        <x:v>4</x:v>
      </x:c>
      <x:c r="C6" s="12" t="str">
        <x:v>Records retained for follow-up</x:v>
      </x:c>
      <x:c r="D6" s="12" t="str">
        <x:v>Exceptions</x:v>
      </x:c>
    </x:row>
    <x:row r="7">
      <x:c r="A7" s="12" t="str">
        <x:v>West extended cost</x:v>
      </x:c>
      <x:c r="B7" s="15" t="n">
        <x:f>IF('Joined_Data'!C4="West",'Joined_Data'!F4,0)+IF('Joined_Data'!C5="West",'Joined_Data'!F5,0)+IF('Joined_Data'!C6="West",'Joined_Data'!F6,0)</x:f>
        <x:v>4200</x:v>
      </x:c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 t="n">
        <x:f>'Summary'!B4</x:f>
        <x:v>3</x:v>
      </x:c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 t="n">
        <x:f>'Summary'!B6</x:f>
        <x:v>4</x:v>
      </x:c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 t="n">
        <x:f>'Summary'!B5</x:f>
        <x:v>6090</x:v>
      </x:c>
      <x:c r="C6" s="12" t="n">
        <x:v>6090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