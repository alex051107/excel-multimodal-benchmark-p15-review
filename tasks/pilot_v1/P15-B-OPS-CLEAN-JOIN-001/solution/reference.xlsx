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3ea5f4cf8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2f143ab3a7234f40"/>
    <x:sheet xmlns:r="http://schemas.openxmlformats.org/officeDocument/2006/relationships" name="Product_Master" sheetId="2" r:id="Rde953b7e03b34445"/>
    <x:sheet xmlns:r="http://schemas.openxmlformats.org/officeDocument/2006/relationships" name="Location_Master" sheetId="3" r:id="R1e435ffb67fa4e87"/>
    <x:sheet xmlns:r="http://schemas.openxmlformats.org/officeDocument/2006/relationships" name="Clean_Data" sheetId="4" r:id="Rc9d2d88222fd42b7"/>
    <x:sheet xmlns:r="http://schemas.openxmlformats.org/officeDocument/2006/relationships" name="Joined_Data" sheetId="5" r:id="R1ceb66d0496544a6"/>
    <x:sheet xmlns:r="http://schemas.openxmlformats.org/officeDocument/2006/relationships" name="Exceptions" sheetId="6" r:id="Rcf9ae75cf6724cbc"/>
    <x:sheet xmlns:r="http://schemas.openxmlformats.org/officeDocument/2006/relationships" name="Summary" sheetId="7" r:id="R86c276bc1bd64546"/>
    <x:sheet xmlns:r="http://schemas.openxmlformats.org/officeDocument/2006/relationships" name="Checks" sheetId="8" r:id="Rfd1b13063de1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f9e386dbf44c7" /><Relationship Type="http://schemas.openxmlformats.org/officeDocument/2006/relationships/theme" Target="/xl/theme/theme1.xml" Id="R67bee00c0aa9432e" /><Relationship Type="http://schemas.openxmlformats.org/officeDocument/2006/relationships/sharedStrings" Target="/xl/sharedStrings.xml" Id="R24fb299bfc4b4a64" /><Relationship Type="http://schemas.openxmlformats.org/officeDocument/2006/relationships/worksheet" Target="/xl/worksheets/sheet1.xml" Id="R2f143ab3a7234f40" /><Relationship Type="http://schemas.openxmlformats.org/officeDocument/2006/relationships/worksheet" Target="/xl/worksheets/sheet2.xml" Id="Rde953b7e03b34445" /><Relationship Type="http://schemas.openxmlformats.org/officeDocument/2006/relationships/worksheet" Target="/xl/worksheets/sheet3.xml" Id="R1e435ffb67fa4e87" /><Relationship Type="http://schemas.openxmlformats.org/officeDocument/2006/relationships/worksheet" Target="/xl/worksheets/sheet4.xml" Id="Rc9d2d88222fd42b7" /><Relationship Type="http://schemas.openxmlformats.org/officeDocument/2006/relationships/worksheet" Target="/xl/worksheets/sheet5.xml" Id="R1ceb66d0496544a6" /><Relationship Type="http://schemas.openxmlformats.org/officeDocument/2006/relationships/worksheet" Target="/xl/worksheets/sheet6.xml" Id="Rcf9ae75cf6724cbc" /><Relationship Type="http://schemas.openxmlformats.org/officeDocument/2006/relationships/worksheet" Target="/xl/worksheets/sheet7.xml" Id="R86c276bc1bd64546" /><Relationship Type="http://schemas.openxmlformats.org/officeDocument/2006/relationships/worksheet" Target="/xl/worksheets/sheet8.xml" Id="Rfd1b13063de1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f>'Raw_Orders'!D4</x:f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f>'Raw_Orders'!D5</x:f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f>'Raw_Orders'!D6</x:f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Valve kit</x:v>
      </x:c>
      <x:c r="C4" s="12" t="str">
        <x:v>Northeast</x:v>
      </x:c>
      <x:c r="D4" s="12" t="n">
        <x:f>'Clean_Data'!D4</x:f>
        <x:v>10</x:v>
      </x:c>
      <x:c r="E4" s="15" t="n">
        <x:f>'Product_Master'!D4</x:f>
        <x:v>150</x:v>
      </x:c>
      <x:c r="F4" s="15" t="n">
        <x:f>D4*E4</x:f>
        <x:v>1500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f>'Clean_Data'!D5</x:f>
        <x:v>5</x:v>
      </x:c>
      <x:c r="E5" s="15" t="n">
        <x:f>'Product_Master'!D5</x:f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f>'Clean_Data'!D6</x:f>
        <x:v>4</x:v>
      </x:c>
      <x:c r="E6" s="15" t="n">
        <x:f>'Product_Master'!D6</x:f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 t="str">
        <x:v>ORD-106</x:v>
      </x:c>
      <x:c r="B7" s="12" t="str">
        <x:v>INVALID_UNITS</x:v>
      </x:c>
      <x:c r="C7" s="12" t="str">
        <x:v>Units value 'five'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IF('Joined_Data'!A4&lt;&gt;"",1,0)+IF('Joined_Data'!A5&lt;&gt;"",1,0)+IF('Joined_Data'!A6&lt;&gt;"",1,0)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SUM('Joined_Data'!F4:F6)</x:f>
        <x:v>3940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IF('Exceptions'!A4&lt;&gt;"",1,0)+IF('Exceptions'!A5&lt;&gt;"",1,0)+IF('Exceptions'!A6&lt;&gt;"",1,0)+IF('Exceptions'!A7&lt;&gt;"",1,0)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IF('Joined_Data'!C4="Northeast",'Joined_Data'!F4,0)+IF('Joined_Data'!C5="Northeast",'Joined_Data'!F5,0)+IF('Joined_Data'!C6="Northeast",'Joined_Data'!F6,0)</x:f>
        <x:v>1840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3940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