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25ea3b572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rders" sheetId="1" r:id="Rac76062248e44251"/>
    <x:sheet xmlns:r="http://schemas.openxmlformats.org/officeDocument/2006/relationships" name="Product_Master" sheetId="2" r:id="R18797d03f41a498f"/>
    <x:sheet xmlns:r="http://schemas.openxmlformats.org/officeDocument/2006/relationships" name="Location_Master" sheetId="3" r:id="Raf32d5fc83084485"/>
    <x:sheet xmlns:r="http://schemas.openxmlformats.org/officeDocument/2006/relationships" name="Clean_Data" sheetId="4" r:id="Raa9260f76c344456"/>
    <x:sheet xmlns:r="http://schemas.openxmlformats.org/officeDocument/2006/relationships" name="Joined_Data" sheetId="5" r:id="Rd258f33d486b4e95"/>
    <x:sheet xmlns:r="http://schemas.openxmlformats.org/officeDocument/2006/relationships" name="Exceptions" sheetId="6" r:id="Rdc616c22642e4c9b"/>
    <x:sheet xmlns:r="http://schemas.openxmlformats.org/officeDocument/2006/relationships" name="Summary" sheetId="7" r:id="Rd20b72eee8534216"/>
    <x:sheet xmlns:r="http://schemas.openxmlformats.org/officeDocument/2006/relationships" name="Checks" sheetId="8" r:id="R1b7023d91f4044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e490b36648435a" /><Relationship Type="http://schemas.openxmlformats.org/officeDocument/2006/relationships/theme" Target="/xl/theme/theme1.xml" Id="Rc80a65fe72464d5f" /><Relationship Type="http://schemas.openxmlformats.org/officeDocument/2006/relationships/sharedStrings" Target="/xl/sharedStrings.xml" Id="R78e31f6c2b4a4388" /><Relationship Type="http://schemas.openxmlformats.org/officeDocument/2006/relationships/worksheet" Target="/xl/worksheets/sheet1.xml" Id="Rac76062248e44251" /><Relationship Type="http://schemas.openxmlformats.org/officeDocument/2006/relationships/worksheet" Target="/xl/worksheets/sheet2.xml" Id="R18797d03f41a498f" /><Relationship Type="http://schemas.openxmlformats.org/officeDocument/2006/relationships/worksheet" Target="/xl/worksheets/sheet3.xml" Id="Raf32d5fc83084485" /><Relationship Type="http://schemas.openxmlformats.org/officeDocument/2006/relationships/worksheet" Target="/xl/worksheets/sheet4.xml" Id="Raa9260f76c344456" /><Relationship Type="http://schemas.openxmlformats.org/officeDocument/2006/relationships/worksheet" Target="/xl/worksheets/sheet5.xml" Id="Rd258f33d486b4e95" /><Relationship Type="http://schemas.openxmlformats.org/officeDocument/2006/relationships/worksheet" Target="/xl/worksheets/sheet6.xml" Id="Rdc616c22642e4c9b" /><Relationship Type="http://schemas.openxmlformats.org/officeDocument/2006/relationships/worksheet" Target="/xl/worksheets/sheet7.xml" Id="Rd20b72eee8534216" /><Relationship Type="http://schemas.openxmlformats.org/officeDocument/2006/relationships/worksheet" Target="/xl/worksheets/sheet8.xml" Id="R1b7023d91f4044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8" hidden="0" customWidth="1"/>
    <x:col min="4" max="4" width="14" hidden="0" customWidth="1"/>
    <x:col min="5" max="5" width="17" hidden="0" customWidth="1"/>
  </x:cols>
  <x:sheetData>
    <x:row r="1" ht="26" customHeight="1">
      <x:c r="A1" s="13" t="str">
        <x:v>Raw Shipment Order Extract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Order ID</x:v>
      </x:c>
      <x:c r="B3" s="9" t="str">
        <x:v>Product code</x:v>
      </x:c>
      <x:c r="C3" s="9" t="str">
        <x:v>Location code</x:v>
      </x:c>
      <x:c r="D3" s="9" t="str">
        <x:v>Units</x:v>
      </x:c>
      <x:c r="E3" s="9" t="str">
        <x:v>Order date</x:v>
      </x:c>
    </x:row>
    <x:row r="4">
      <x:c r="A4" s="12" t="str">
        <x:v>ORD-100</x:v>
      </x:c>
      <x:c r="B4" s="12" t="str">
        <x:v>  p-100</x:v>
      </x:c>
      <x:c r="C4" s="12" t="str">
        <x:v>ny-01</x:v>
      </x:c>
      <x:c r="D4" s="12" t="n">
        <x:v>10</x:v>
      </x:c>
      <x:c r="E4" s="12" t="str">
        <x:v>2024-06-03</x:v>
      </x:c>
    </x:row>
    <x:row r="5">
      <x:c r="A5" s="12" t="str">
        <x:v>ORD-101</x:v>
      </x:c>
      <x:c r="B5" s="12" t="str">
        <x:v>P-200</x:v>
      </x:c>
      <x:c r="C5" s="12" t="str">
        <x:v>TX-01</x:v>
      </x:c>
      <x:c r="D5" s="12" t="n">
        <x:v>5</x:v>
      </x:c>
      <x:c r="E5" s="12" t="str">
        <x:v>2024-06-04</x:v>
      </x:c>
    </x:row>
    <x:row r="6">
      <x:c r="A6" s="12" t="str">
        <x:v>ORD-102</x:v>
      </x:c>
      <x:c r="B6" s="12" t="str">
        <x:v>P-300</x:v>
      </x:c>
      <x:c r="C6" s="12" t="str">
        <x:v>NY-01</x:v>
      </x:c>
      <x:c r="D6" s="12" t="n">
        <x:v>4</x:v>
      </x:c>
      <x:c r="E6" s="12" t="str">
        <x:v>2024-06-05</x:v>
      </x:c>
    </x:row>
    <x:row r="7">
      <x:c r="A7" s="12" t="str">
        <x:v>ORD-103</x:v>
      </x:c>
      <x:c r="B7" s="12" t="str">
        <x:v>P-999</x:v>
      </x:c>
      <x:c r="C7" s="12" t="str">
        <x:v>NY-01</x:v>
      </x:c>
      <x:c r="D7" s="12" t="n">
        <x:v>6</x:v>
      </x:c>
      <x:c r="E7" s="12" t="str">
        <x:v>2024-06-06</x:v>
      </x:c>
    </x:row>
    <x:row r="8">
      <x:c r="A8" s="12" t="str">
        <x:v>ORD-104</x:v>
      </x:c>
      <x:c r="B8" s="12" t="str">
        <x:v>P-100</x:v>
      </x:c>
      <x:c r="C8" s="12" t="str">
        <x:v>ZZ-09</x:v>
      </x:c>
      <x:c r="D8" s="12" t="n">
        <x:v>8</x:v>
      </x:c>
      <x:c r="E8" s="12" t="str">
        <x:v>2024-06-07</x:v>
      </x:c>
    </x:row>
    <x:row r="9">
      <x:c r="A9" s="12" t="str">
        <x:v>ORD-105</x:v>
      </x:c>
      <x:c r="B9" s="12" t="str">
        <x:v>p-100 </x:v>
      </x:c>
      <x:c r="C9" s="12" t="str">
        <x:v>ny-01</x:v>
      </x:c>
      <x:c r="D9" s="12" t="n">
        <x:v>10</x:v>
      </x:c>
      <x:c r="E9" s="12" t="str">
        <x:v>2024-06-03</x:v>
      </x:c>
    </x:row>
    <x:row r="10">
      <x:c r="A10" s="12" t="str">
        <x:v>ORD-106</x:v>
      </x:c>
      <x:c r="B10" s="12" t="str">
        <x:v>P-200</x:v>
      </x:c>
      <x:c r="C10" s="12" t="str">
        <x:v>TX-01</x:v>
      </x:c>
      <x:c r="D10" s="12" t="str">
        <x:v>five</x:v>
      </x:c>
      <x:c r="E10" s="12" t="str">
        <x:v>2024-06-08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19" hidden="0" customWidth="1"/>
  </x:cols>
  <x:sheetData>
    <x:row r="1" ht="26" customHeight="1">
      <x:c r="A1" s="13" t="str">
        <x:v>Product Master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Product code</x:v>
      </x:c>
      <x:c r="B3" s="9" t="str">
        <x:v>Product</x:v>
      </x:c>
      <x:c r="C3" s="9" t="str">
        <x:v>Category</x:v>
      </x:c>
      <x:c r="D3" s="9" t="str">
        <x:v>Unit cost ($)</x:v>
      </x:c>
    </x:row>
    <x:row r="4">
      <x:c r="A4" s="12" t="str">
        <x:v>P-100</x:v>
      </x:c>
      <x:c r="B4" s="12" t="str">
        <x:v>Valve kit</x:v>
      </x:c>
      <x:c r="C4" s="12" t="str">
        <x:v>Mechanical</x:v>
      </x:c>
      <x:c r="D4" s="15" t="n">
        <x:v>150</x:v>
      </x:c>
    </x:row>
    <x:row r="5">
      <x:c r="A5" s="12" t="str">
        <x:v>P-200</x:v>
      </x:c>
      <x:c r="B5" s="12" t="str">
        <x:v>Sensor module</x:v>
      </x:c>
      <x:c r="C5" s="12" t="str">
        <x:v>Electrical</x:v>
      </x:c>
      <x:c r="D5" s="15" t="n">
        <x:v>420</x:v>
      </x:c>
    </x:row>
    <x:row r="6">
      <x:c r="A6" s="12" t="str">
        <x:v>P-300</x:v>
      </x:c>
      <x:c r="B6" s="12" t="str">
        <x:v>Filter cartridge</x:v>
      </x:c>
      <x:c r="C6" s="12" t="str">
        <x:v>Consumables</x:v>
      </x:c>
      <x:c r="D6" s="15" t="n">
        <x:v>85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6" hidden="0" customWidth="1"/>
  </x:cols>
  <x:sheetData>
    <x:row r="1" ht="26" customHeight="1">
      <x:c r="A1" s="13" t="str">
        <x:v>Location Master</x:v>
      </x:c>
      <x:c r="B1" s="13"/>
      <x:c r="C1" s="13"/>
    </x:row>
    <x:row r="2">
      <x:c r="A2" s="14"/>
      <x:c r="B2" s="14"/>
      <x:c r="C2" s="14"/>
    </x:row>
    <x:row r="3">
      <x:c r="A3" s="9" t="str">
        <x:v>Location code</x:v>
      </x:c>
      <x:c r="B3" s="9" t="str">
        <x:v>Region</x:v>
      </x:c>
      <x:c r="C3" s="9" t="str">
        <x:v>Country</x:v>
      </x:c>
    </x:row>
    <x:row r="4">
      <x:c r="A4" s="12" t="str">
        <x:v>NY-01</x:v>
      </x:c>
      <x:c r="B4" s="12" t="str">
        <x:v>Northeast</x:v>
      </x:c>
      <x:c r="C4" s="12" t="str">
        <x:v>US</x:v>
      </x:c>
    </x:row>
    <x:row r="5">
      <x:c r="A5" s="12" t="str">
        <x:v>TX-01</x:v>
      </x:c>
      <x:c r="B5" s="12" t="str">
        <x:v>South</x:v>
      </x:c>
      <x:c r="C5" s="12" t="str">
        <x:v>US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3" hidden="0" customWidth="1"/>
    <x:col min="4" max="4" width="18" hidden="0" customWidth="1"/>
    <x:col min="5" max="5" width="14" hidden="0" customWidth="1"/>
    <x:col min="6" max="6" width="16" hidden="0" customWidth="1"/>
    <x:col min="7" max="7" width="17" hidden="0" customWidth="1"/>
    <x:col min="8" max="8" width="32" hidden="0" customWidth="1"/>
  </x:cols>
  <x:sheetData>
    <x:row r="1" ht="26" customHeight="1">
      <x:c r="A1" s="13" t="str">
        <x:v>Normalized Order Records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 normalized</x:v>
      </x:c>
      <x:c r="C3" s="9" t="str">
        <x:v>Location normalized</x:v>
      </x:c>
      <x:c r="D3" s="9" t="str">
        <x:v>Units normalized</x:v>
      </x:c>
      <x:c r="E3" s="9" t="str">
        <x:v>Duplicate</x:v>
      </x:c>
      <x:c r="F3" s="9" t="str">
        <x:v>Product valid</x:v>
      </x:c>
      <x:c r="G3" s="9" t="str">
        <x:v>Location valid</x:v>
      </x:c>
      <x:c r="H3" s="9" t="str">
        <x:v>Disposition</x:v>
      </x:c>
    </x:row>
    <x:row r="4">
      <x:c r="A4" s="12" t="str">
        <x:v>ORD-100</x:v>
      </x:c>
      <x:c r="B4" s="12" t="str">
        <x:v>P-100</x:v>
      </x:c>
      <x:c r="C4" s="12" t="str">
        <x:v>NY-01</x:v>
      </x:c>
      <x:c r="D4" s="12" t="n">
        <x:v>10</x:v>
      </x:c>
      <x:c r="E4" s="12" t="str">
        <x:v>No</x:v>
      </x:c>
      <x:c r="F4" s="12" t="str">
        <x:v>Yes</x:v>
      </x:c>
      <x:c r="G4" s="12" t="str">
        <x:v>Yes</x:v>
      </x:c>
      <x:c r="H4" s="12" t="str">
        <x:v>Join</x:v>
      </x:c>
    </x:row>
    <x:row r="5">
      <x:c r="A5" s="12" t="str">
        <x:v>ORD-101</x:v>
      </x:c>
      <x:c r="B5" s="12" t="str">
        <x:v>P-200</x:v>
      </x:c>
      <x:c r="C5" s="12" t="str">
        <x:v>TX-01</x:v>
      </x:c>
      <x:c r="D5" s="12" t="n">
        <x:v>5</x:v>
      </x:c>
      <x:c r="E5" s="12" t="str">
        <x:v>No</x:v>
      </x:c>
      <x:c r="F5" s="12" t="str">
        <x:v>Yes</x:v>
      </x:c>
      <x:c r="G5" s="12" t="str">
        <x:v>Yes</x:v>
      </x:c>
      <x:c r="H5" s="12" t="str">
        <x:v>Join</x:v>
      </x:c>
    </x:row>
    <x:row r="6">
      <x:c r="A6" s="12" t="str">
        <x:v>ORD-102</x:v>
      </x:c>
      <x:c r="B6" s="12" t="str">
        <x:v>P-300</x:v>
      </x:c>
      <x:c r="C6" s="12" t="str">
        <x:v>NY-01</x:v>
      </x:c>
      <x:c r="D6" s="12" t="n">
        <x:v>4</x:v>
      </x:c>
      <x:c r="E6" s="12" t="str">
        <x:v>No</x:v>
      </x:c>
      <x:c r="F6" s="12" t="str">
        <x:v>Yes</x:v>
      </x:c>
      <x:c r="G6" s="12" t="str">
        <x:v>Yes</x:v>
      </x:c>
      <x:c r="H6" s="12" t="str">
        <x:v>Join</x:v>
      </x:c>
    </x:row>
    <x:row r="7">
      <x:c r="A7" s="12" t="str">
        <x:v>ORD-103</x:v>
      </x:c>
      <x:c r="B7" s="12" t="str">
        <x:v>P-999</x:v>
      </x:c>
      <x:c r="C7" s="12" t="str">
        <x:v>NY-01</x:v>
      </x:c>
      <x:c r="D7" s="12" t="n">
        <x:v>6</x:v>
      </x:c>
      <x:c r="E7" s="12" t="str">
        <x:v>No</x:v>
      </x:c>
      <x:c r="F7" s="12" t="str">
        <x:v>No</x:v>
      </x:c>
      <x:c r="G7" s="12" t="str">
        <x:v>Yes</x:v>
      </x:c>
      <x:c r="H7" s="12" t="str">
        <x:v>Exception: unmatched product</x:v>
      </x:c>
    </x:row>
    <x:row r="8">
      <x:c r="A8" s="12" t="str">
        <x:v>ORD-104</x:v>
      </x:c>
      <x:c r="B8" s="12" t="str">
        <x:v>P-100</x:v>
      </x:c>
      <x:c r="C8" s="12" t="str">
        <x:v>ZZ-09</x:v>
      </x:c>
      <x:c r="D8" s="12" t="n">
        <x:v>8</x:v>
      </x:c>
      <x:c r="E8" s="12" t="str">
        <x:v>No</x:v>
      </x:c>
      <x:c r="F8" s="12" t="str">
        <x:v>Yes</x:v>
      </x:c>
      <x:c r="G8" s="12" t="str">
        <x:v>No</x:v>
      </x:c>
      <x:c r="H8" s="12" t="str">
        <x:v>Exception: unmatched location</x:v>
      </x:c>
    </x:row>
    <x:row r="9">
      <x:c r="A9" s="12" t="str">
        <x:v>ORD-105</x:v>
      </x:c>
      <x:c r="B9" s="12" t="str">
        <x:v>P-100</x:v>
      </x:c>
      <x:c r="C9" s="12" t="str">
        <x:v>NY-01</x:v>
      </x:c>
      <x:c r="D9" s="12" t="n">
        <x:v>10</x:v>
      </x:c>
      <x:c r="E9" s="12" t="str">
        <x:v>Yes</x:v>
      </x:c>
      <x:c r="F9" s="12" t="str">
        <x:v>Yes</x:v>
      </x:c>
      <x:c r="G9" s="12" t="str">
        <x:v>Yes</x:v>
      </x:c>
      <x:c r="H9" s="12" t="str">
        <x:v>Exception: exact duplicate</x:v>
      </x:c>
    </x:row>
    <x:row r="10">
      <x:c r="A10" s="12" t="str">
        <x:v>ORD-106</x:v>
      </x:c>
      <x:c r="B10" s="12" t="str">
        <x:v>P-200</x:v>
      </x:c>
      <x:c r="C10" s="12" t="str">
        <x:v>TX-01</x:v>
      </x:c>
      <x:c r="D10" s="12"/>
      <x:c r="E10" s="12" t="str">
        <x:v>No</x:v>
      </x:c>
      <x:c r="F10" s="12" t="str">
        <x:v>Yes</x:v>
      </x:c>
      <x:c r="G10" s="12" t="str">
        <x:v>Yes</x:v>
      </x:c>
      <x:c r="H10" s="12" t="str">
        <x:v>Exception: invalid units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0" hidden="0" customWidth="1"/>
    <x:col min="4" max="4" width="14" hidden="0" customWidth="1"/>
    <x:col min="5" max="5" width="18" hidden="0" customWidth="1"/>
    <x:col min="6" max="6" width="20" hidden="0" customWidth="1"/>
    <x:col min="7" max="7" width="18" hidden="0" customWidth="1"/>
    <x:col min="8" max="8" width="17" hidden="0" customWidth="1"/>
  </x:cols>
  <x:sheetData>
    <x:row r="1" ht="26" customHeight="1">
      <x:c r="A1" s="13" t="str">
        <x:v>Usable Orders After Cleaning and Join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</x:v>
      </x:c>
      <x:c r="C3" s="9" t="str">
        <x:v>Region</x:v>
      </x:c>
      <x:c r="D3" s="9" t="str">
        <x:v>Units</x:v>
      </x:c>
      <x:c r="E3" s="9" t="str">
        <x:v>Unit cost</x:v>
      </x:c>
      <x:c r="F3" s="9" t="str">
        <x:v>Extended cost</x:v>
      </x:c>
      <x:c r="G3" s="9" t="str">
        <x:v>Source order</x:v>
      </x:c>
      <x:c r="H3" s="9" t="str">
        <x:v>Join status</x:v>
      </x:c>
    </x:row>
    <x:row r="4">
      <x:c r="A4" s="12" t="str">
        <x:v>ORD-100</x:v>
      </x:c>
      <x:c r="B4" s="12" t="str">
        <x:v>Valve kit</x:v>
      </x:c>
      <x:c r="C4" s="12" t="str">
        <x:v>Northeast</x:v>
      </x:c>
      <x:c r="D4" s="12" t="n">
        <x:v>10</x:v>
      </x:c>
      <x:c r="E4" s="15" t="n">
        <x:v>150</x:v>
      </x:c>
      <x:c r="F4" s="15" t="n">
        <x:f>D4*E4</x:f>
        <x:v>1500</x:v>
      </x:c>
      <x:c r="G4" s="12" t="str">
        <x:v>ORD-100</x:v>
      </x:c>
      <x:c r="H4" s="12" t="str">
        <x:v>Joined</x:v>
      </x:c>
    </x:row>
    <x:row r="5">
      <x:c r="A5" s="12" t="str">
        <x:v>ORD-101</x:v>
      </x:c>
      <x:c r="B5" s="12" t="str">
        <x:v>Sensor module</x:v>
      </x:c>
      <x:c r="C5" s="12" t="str">
        <x:v>South</x:v>
      </x:c>
      <x:c r="D5" s="12" t="n">
        <x:v>5</x:v>
      </x:c>
      <x:c r="E5" s="15" t="n">
        <x:v>420</x:v>
      </x:c>
      <x:c r="F5" s="15" t="n">
        <x:f>D5*E5</x:f>
        <x:v>2100</x:v>
      </x:c>
      <x:c r="G5" s="12" t="str">
        <x:v>ORD-101</x:v>
      </x:c>
      <x:c r="H5" s="12" t="str">
        <x:v>Joined</x:v>
      </x:c>
    </x:row>
    <x:row r="6">
      <x:c r="A6" s="12" t="str">
        <x:v>ORD-102</x:v>
      </x:c>
      <x:c r="B6" s="12" t="str">
        <x:v>Filter cartridge</x:v>
      </x:c>
      <x:c r="C6" s="12" t="str">
        <x:v>Northeast</x:v>
      </x:c>
      <x:c r="D6" s="12" t="n">
        <x:v>4</x:v>
      </x:c>
      <x:c r="E6" s="15" t="n">
        <x:v>85</x:v>
      </x:c>
      <x:c r="F6" s="15" t="n">
        <x:f>D6*E6</x:f>
        <x:v>340</x:v>
      </x:c>
      <x:c r="G6" s="12" t="str">
        <x:v>ORD-102</x:v>
      </x:c>
      <x:c r="H6" s="12" t="str">
        <x:v>Joined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44" hidden="0" customWidth="1"/>
    <x:col min="4" max="4" width="32" hidden="0" customWidth="1"/>
  </x:cols>
  <x:sheetData>
    <x:row r="1" ht="26" customHeight="1">
      <x:c r="A1" s="13" t="str">
        <x:v>Exceptions Requiring Follow-up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Order ID</x:v>
      </x:c>
      <x:c r="B3" s="9" t="str">
        <x:v>Exception type</x:v>
      </x:c>
      <x:c r="C3" s="9" t="str">
        <x:v>Detail</x:v>
      </x:c>
      <x:c r="D3" s="9" t="str">
        <x:v>Disposition</x:v>
      </x:c>
    </x:row>
    <x:row r="4">
      <x:c r="A4" s="12" t="str">
        <x:v>ORD-103</x:v>
      </x:c>
      <x:c r="B4" s="12" t="str">
        <x:v>UNMATCHED_PRODUCT</x:v>
      </x:c>
      <x:c r="C4" s="12" t="str">
        <x:v>P-999 absent from Product_Master</x:v>
      </x:c>
      <x:c r="D4" s="12" t="str">
        <x:v>Retain for master-data review</x:v>
      </x:c>
    </x:row>
    <x:row r="5">
      <x:c r="A5" s="12" t="str">
        <x:v>ORD-104</x:v>
      </x:c>
      <x:c r="B5" s="12" t="str">
        <x:v>UNMATCHED_LOCATION</x:v>
      </x:c>
      <x:c r="C5" s="12" t="str">
        <x:v>ZZ-09 absent from Location_Master</x:v>
      </x:c>
      <x:c r="D5" s="12" t="str">
        <x:v>Retain for location review</x:v>
      </x:c>
    </x:row>
    <x:row r="6">
      <x:c r="A6" s="12" t="str">
        <x:v>ORD-105</x:v>
      </x:c>
      <x:c r="B6" s="12" t="str">
        <x:v>DUPLICATE</x:v>
      </x:c>
      <x:c r="C6" s="12" t="str">
        <x:v>Same normalized product/location/units/date as ORD-100</x:v>
      </x:c>
      <x:c r="D6" s="12" t="str">
        <x:v>Exclude from joined totals</x:v>
      </x:c>
    </x:row>
    <x:row r="7">
      <x:c r="A7" s="12"/>
      <x:c r="B7" s="12"/>
      <x:c r="C7" s="12"/>
      <x:c r="D7" s="12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8" hidden="0" customWidth="1"/>
    <x:col min="4" max="4" width="26" hidden="0" customWidth="1"/>
  </x:cols>
  <x:sheetData>
    <x:row r="1" ht="26" customHeight="1">
      <x:c r="A1" s="13" t="str">
        <x:v>Operations Quality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Valid joined orders</x:v>
      </x:c>
      <x:c r="B4" s="12" t="n">
        <x:f>1+1+1</x:f>
        <x:v>3</x:v>
      </x:c>
      <x:c r="C4" s="12" t="str">
        <x:v>Rows eligible for operational total</x:v>
      </x:c>
      <x:c r="D4" s="12" t="str">
        <x:v>Joined_Data</x:v>
      </x:c>
    </x:row>
    <x:row r="5">
      <x:c r="A5" s="12" t="str">
        <x:v>Total extended cost</x:v>
      </x:c>
      <x:c r="B5" s="15" t="n">
        <x:f>SUM('Joined_Data'!F4:F6)</x:f>
        <x:v>3940</x:v>
      </x:c>
      <x:c r="C5" s="12" t="str">
        <x:v>Cost of valid joined orders</x:v>
      </x:c>
      <x:c r="D5" s="12" t="str">
        <x:v>Joined_Data</x:v>
      </x:c>
    </x:row>
    <x:row r="6">
      <x:c r="A6" s="12" t="str">
        <x:v>Exception count</x:v>
      </x:c>
      <x:c r="B6" s="15" t="n">
        <x:f>1+1+1+1</x:f>
        <x:v>4</x:v>
      </x:c>
      <x:c r="C6" s="12" t="str">
        <x:v>Records retained for follow-up</x:v>
      </x:c>
      <x:c r="D6" s="12" t="str">
        <x:v>Exceptions</x:v>
      </x:c>
    </x:row>
    <x:row r="7">
      <x:c r="A7" s="12" t="str">
        <x:v>Northeast extended cost</x:v>
      </x:c>
      <x:c r="B7" s="15" t="n">
        <x:f>'Joined_Data'!F4+'Joined_Data'!F6</x:f>
        <x:v>1840</x:v>
      </x:c>
      <x:c r="C7" s="12" t="str">
        <x:v>Regional coverage check</x:v>
      </x:c>
      <x:c r="D7" s="12" t="str">
        <x:v>Joined_Data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8" hidden="0" customWidth="1"/>
  </x:cols>
  <x:sheetData>
    <x:row r="1" ht="26" customHeight="1">
      <x:c r="A1" s="13" t="str">
        <x:v>Cleaning and Join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Joined rows</x:v>
      </x:c>
      <x:c r="B4" s="12" t="n">
        <x:f>'Summary'!B4</x:f>
        <x:v>3</x:v>
      </x:c>
      <x:c r="C4" s="12" t="n">
        <x:v>3</x:v>
      </x:c>
      <x:c r="D4" s="12" t="str">
        <x:v>Valid non-duplicate records only</x:v>
      </x:c>
    </x:row>
    <x:row r="5">
      <x:c r="A5" s="12" t="str">
        <x:v>Exceptions</x:v>
      </x:c>
      <x:c r="B5" s="12" t="n">
        <x:f>'Summary'!B6</x:f>
        <x:v>4</x:v>
      </x:c>
      <x:c r="C5" s="12" t="n">
        <x:v>4</x:v>
      </x:c>
      <x:c r="D5" s="12" t="str">
        <x:v>No exception may disappear</x:v>
      </x:c>
    </x:row>
    <x:row r="6">
      <x:c r="A6" s="12" t="str">
        <x:v>Total cost</x:v>
      </x:c>
      <x:c r="B6" s="12" t="n">
        <x:f>'Summary'!B5</x:f>
        <x:v>3940</x:v>
      </x:c>
      <x:c r="C6" s="12" t="n">
        <x:v>3940</x:v>
      </x:c>
      <x:c r="D6" s="12" t="str">
        <x:v>Joined extended costs</x:v>
      </x:c>
    </x:row>
  </x:sheetData>
  <x:mergeCells>
    <x:mergeCell ref="A1:D1"/>
  </x:mergeCells>
  <x:pageMargins left="0.7" right="0.7" top="0.75" bottom="0.75" header="0.3" footer="0.3"/>
</x:worksheet>
</file>