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Orders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Location_Master" sheetId="3" state="visible" r:id="rId3"/>
    <sheet xmlns:r="http://schemas.openxmlformats.org/officeDocument/2006/relationships" name="Clean_Data" sheetId="4" state="visible" r:id="rId4"/>
    <sheet xmlns:r="http://schemas.openxmlformats.org/officeDocument/2006/relationships" name="Joined_Data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Checks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4" customWidth="1" min="4" max="4"/>
    <col width="17" customWidth="1" min="5" max="5"/>
  </cols>
  <sheetData>
    <row r="1" ht="26" customHeight="1">
      <c r="A1" s="13" t="inlineStr">
        <is>
          <t>Raw Shipment Order Extract</t>
        </is>
      </c>
    </row>
    <row r="2">
      <c r="A2" s="14" t="n"/>
      <c r="B2" s="14" t="n"/>
      <c r="C2" s="14" t="n"/>
      <c r="D2" s="14" t="n"/>
      <c r="E2" s="14" t="n"/>
    </row>
    <row r="3">
      <c r="A3" s="9" t="inlineStr">
        <is>
          <t>Order ID</t>
        </is>
      </c>
      <c r="B3" s="9" t="inlineStr">
        <is>
          <t>Product code</t>
        </is>
      </c>
      <c r="C3" s="9" t="inlineStr">
        <is>
          <t>Location code</t>
        </is>
      </c>
      <c r="D3" s="9" t="inlineStr">
        <is>
          <t>Units</t>
        </is>
      </c>
      <c r="E3" s="9" t="inlineStr">
        <is>
          <t>Order date</t>
        </is>
      </c>
    </row>
    <row r="4">
      <c r="A4" s="12" t="inlineStr">
        <is>
          <t>ORD-100X</t>
        </is>
      </c>
      <c r="B4" s="12" t="inlineStr">
        <is>
          <t xml:space="preserve">  p-100</t>
        </is>
      </c>
      <c r="C4" s="12" t="inlineStr">
        <is>
          <t>ny-01</t>
        </is>
      </c>
      <c r="D4" s="12" t="n">
        <v>10</v>
      </c>
      <c r="E4" s="12" t="inlineStr">
        <is>
          <t>2024-06-03</t>
        </is>
      </c>
    </row>
    <row r="5">
      <c r="A5" s="12" t="inlineStr">
        <is>
          <t>ORD-101</t>
        </is>
      </c>
      <c r="B5" s="12" t="inlineStr">
        <is>
          <t>P-200</t>
        </is>
      </c>
      <c r="C5" s="12" t="inlineStr">
        <is>
          <t>TX-01</t>
        </is>
      </c>
      <c r="D5" s="12" t="n">
        <v>5</v>
      </c>
      <c r="E5" s="12" t="inlineStr">
        <is>
          <t>2024-06-04</t>
        </is>
      </c>
    </row>
    <row r="6">
      <c r="A6" s="12" t="inlineStr">
        <is>
          <t>ORD-102</t>
        </is>
      </c>
      <c r="B6" s="12" t="inlineStr">
        <is>
          <t>P-300</t>
        </is>
      </c>
      <c r="C6" s="12" t="inlineStr">
        <is>
          <t>NY-01</t>
        </is>
      </c>
      <c r="D6" s="12" t="n">
        <v>4</v>
      </c>
      <c r="E6" s="12" t="inlineStr">
        <is>
          <t>2024-06-05</t>
        </is>
      </c>
    </row>
    <row r="7">
      <c r="A7" s="12" t="inlineStr">
        <is>
          <t>ORD-103</t>
        </is>
      </c>
      <c r="B7" s="12" t="inlineStr">
        <is>
          <t>P-999</t>
        </is>
      </c>
      <c r="C7" s="12" t="inlineStr">
        <is>
          <t>NY-01</t>
        </is>
      </c>
      <c r="D7" s="12" t="n">
        <v>6</v>
      </c>
      <c r="E7" s="12" t="inlineStr">
        <is>
          <t>2024-06-06</t>
        </is>
      </c>
    </row>
    <row r="8">
      <c r="A8" s="12" t="inlineStr">
        <is>
          <t>ORD-104</t>
        </is>
      </c>
      <c r="B8" s="12" t="inlineStr">
        <is>
          <t>P-100</t>
        </is>
      </c>
      <c r="C8" s="12" t="inlineStr">
        <is>
          <t>ZZ-09</t>
        </is>
      </c>
      <c r="D8" s="12" t="n">
        <v>8</v>
      </c>
      <c r="E8" s="12" t="inlineStr">
        <is>
          <t>2024-06-07</t>
        </is>
      </c>
    </row>
    <row r="9">
      <c r="A9" s="12" t="inlineStr">
        <is>
          <t>ORD-105</t>
        </is>
      </c>
      <c r="B9" s="12" t="inlineStr">
        <is>
          <t xml:space="preserve">p-100 </t>
        </is>
      </c>
      <c r="C9" s="12" t="inlineStr">
        <is>
          <t>ny-01</t>
        </is>
      </c>
      <c r="D9" s="12" t="n">
        <v>10</v>
      </c>
      <c r="E9" s="12" t="inlineStr">
        <is>
          <t>2024-06-03</t>
        </is>
      </c>
    </row>
    <row r="10">
      <c r="A10" s="12" t="inlineStr">
        <is>
          <t>ORD-106</t>
        </is>
      </c>
      <c r="B10" s="12" t="inlineStr">
        <is>
          <t>P-200</t>
        </is>
      </c>
      <c r="C10" s="12" t="inlineStr">
        <is>
          <t>TX-01</t>
        </is>
      </c>
      <c r="D10" s="12" t="inlineStr">
        <is>
          <t>five</t>
        </is>
      </c>
      <c r="E10" s="12" t="inlineStr">
        <is>
          <t>2024-06-08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9" customWidth="1" min="4" max="4"/>
  </cols>
  <sheetData>
    <row r="1" ht="26" customHeight="1">
      <c r="A1" s="13" t="inlineStr">
        <is>
          <t>Product Master</t>
        </is>
      </c>
    </row>
    <row r="2">
      <c r="A2" s="14" t="n"/>
      <c r="B2" s="14" t="n"/>
      <c r="C2" s="14" t="n"/>
      <c r="D2" s="14" t="n"/>
    </row>
    <row r="3">
      <c r="A3" s="9" t="inlineStr">
        <is>
          <t>Product code</t>
        </is>
      </c>
      <c r="B3" s="9" t="inlineStr">
        <is>
          <t>Product</t>
        </is>
      </c>
      <c r="C3" s="9" t="inlineStr">
        <is>
          <t>Category</t>
        </is>
      </c>
      <c r="D3" s="9" t="inlineStr">
        <is>
          <t>Unit cost ($)</t>
        </is>
      </c>
    </row>
    <row r="4">
      <c r="A4" s="12" t="inlineStr">
        <is>
          <t>P-100</t>
        </is>
      </c>
      <c r="B4" s="12" t="inlineStr">
        <is>
          <t>Valve kit</t>
        </is>
      </c>
      <c r="C4" s="12" t="inlineStr">
        <is>
          <t>Mechanical</t>
        </is>
      </c>
      <c r="D4" s="16" t="n">
        <v>150</v>
      </c>
    </row>
    <row r="5">
      <c r="A5" s="12" t="inlineStr">
        <is>
          <t>P-200</t>
        </is>
      </c>
      <c r="B5" s="12" t="inlineStr">
        <is>
          <t>Sensor module</t>
        </is>
      </c>
      <c r="C5" s="12" t="inlineStr">
        <is>
          <t>Electrical</t>
        </is>
      </c>
      <c r="D5" s="16" t="n">
        <v>420</v>
      </c>
    </row>
    <row r="6">
      <c r="A6" s="12" t="inlineStr">
        <is>
          <t>P-300</t>
        </is>
      </c>
      <c r="B6" s="12" t="inlineStr">
        <is>
          <t>Filter cartridge</t>
        </is>
      </c>
      <c r="C6" s="12" t="inlineStr">
        <is>
          <t>Consumables</t>
        </is>
      </c>
      <c r="D6" s="16" t="n">
        <v>85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</cols>
  <sheetData>
    <row r="1" ht="26" customHeight="1">
      <c r="A1" s="13" t="inlineStr">
        <is>
          <t>Location Master</t>
        </is>
      </c>
    </row>
    <row r="2">
      <c r="A2" s="14" t="n"/>
      <c r="B2" s="14" t="n"/>
      <c r="C2" s="14" t="n"/>
    </row>
    <row r="3">
      <c r="A3" s="9" t="inlineStr">
        <is>
          <t>Location code</t>
        </is>
      </c>
      <c r="B3" s="9" t="inlineStr">
        <is>
          <t>Region</t>
        </is>
      </c>
      <c r="C3" s="9" t="inlineStr">
        <is>
          <t>Country</t>
        </is>
      </c>
    </row>
    <row r="4">
      <c r="A4" s="12" t="inlineStr">
        <is>
          <t>NY-01</t>
        </is>
      </c>
      <c r="B4" s="12" t="inlineStr">
        <is>
          <t>Northeast</t>
        </is>
      </c>
      <c r="C4" s="12" t="inlineStr">
        <is>
          <t>US</t>
        </is>
      </c>
    </row>
    <row r="5">
      <c r="A5" s="12" t="inlineStr">
        <is>
          <t>TX-01</t>
        </is>
      </c>
      <c r="B5" s="12" t="inlineStr">
        <is>
          <t>South</t>
        </is>
      </c>
      <c r="C5" s="12" t="inlineStr">
        <is>
          <t>US</t>
        </is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  <col width="18" customWidth="1" min="4" max="4"/>
    <col width="14" customWidth="1" min="5" max="5"/>
    <col width="16" customWidth="1" min="6" max="6"/>
    <col width="17" customWidth="1" min="7" max="7"/>
    <col width="32" customWidth="1" min="8" max="8"/>
  </cols>
  <sheetData>
    <row r="1" ht="26" customHeight="1">
      <c r="A1" s="13" t="inlineStr">
        <is>
          <t>Normalized Order Records</t>
        </is>
      </c>
    </row>
    <row r="2">
      <c r="A2" s="14" t="n"/>
      <c r="B2" s="14" t="n"/>
      <c r="C2" s="14" t="n"/>
      <c r="D2" s="14" t="n"/>
      <c r="E2" s="14" t="n"/>
      <c r="F2" s="14" t="n"/>
      <c r="G2" s="14" t="n"/>
      <c r="H2" s="14" t="n"/>
    </row>
    <row r="3">
      <c r="A3" s="9" t="inlineStr">
        <is>
          <t>Order ID</t>
        </is>
      </c>
      <c r="B3" s="9" t="inlineStr">
        <is>
          <t>Product normalized</t>
        </is>
      </c>
      <c r="C3" s="9" t="inlineStr">
        <is>
          <t>Location normalized</t>
        </is>
      </c>
      <c r="D3" s="9" t="inlineStr">
        <is>
          <t>Units normalized</t>
        </is>
      </c>
      <c r="E3" s="9" t="inlineStr">
        <is>
          <t>Duplicate</t>
        </is>
      </c>
      <c r="F3" s="9" t="inlineStr">
        <is>
          <t>Product valid</t>
        </is>
      </c>
      <c r="G3" s="9" t="inlineStr">
        <is>
          <t>Location valid</t>
        </is>
      </c>
      <c r="H3" s="9" t="inlineStr">
        <is>
          <t>Disposition</t>
        </is>
      </c>
    </row>
    <row r="4">
      <c r="A4" s="12" t="inlineStr">
        <is>
          <t>ORD-100</t>
        </is>
      </c>
      <c r="B4" s="12" t="inlineStr">
        <is>
          <t>P-999</t>
        </is>
      </c>
      <c r="C4" s="12" t="inlineStr">
        <is>
          <t>NY-01</t>
        </is>
      </c>
      <c r="D4" s="12" t="n">
        <v>10</v>
      </c>
      <c r="E4" s="12" t="inlineStr">
        <is>
          <t>No</t>
        </is>
      </c>
      <c r="F4" s="12" t="inlineStr">
        <is>
          <t>Yes</t>
        </is>
      </c>
      <c r="G4" s="12" t="inlineStr">
        <is>
          <t>Yes</t>
        </is>
      </c>
      <c r="H4" s="12" t="inlineStr">
        <is>
          <t>Join</t>
        </is>
      </c>
    </row>
    <row r="5">
      <c r="A5" s="12" t="inlineStr">
        <is>
          <t>ORD-101</t>
        </is>
      </c>
      <c r="B5" s="12" t="inlineStr">
        <is>
          <t>P-200</t>
        </is>
      </c>
      <c r="C5" s="12" t="inlineStr">
        <is>
          <t>TX-01</t>
        </is>
      </c>
      <c r="D5" s="12" t="n">
        <v>5</v>
      </c>
      <c r="E5" s="12" t="inlineStr">
        <is>
          <t>No</t>
        </is>
      </c>
      <c r="F5" s="12" t="inlineStr">
        <is>
          <t>Yes</t>
        </is>
      </c>
      <c r="G5" s="12" t="inlineStr">
        <is>
          <t>Yes</t>
        </is>
      </c>
      <c r="H5" s="12" t="inlineStr">
        <is>
          <t>Join</t>
        </is>
      </c>
    </row>
    <row r="6">
      <c r="A6" s="12" t="inlineStr">
        <is>
          <t>ORD-102</t>
        </is>
      </c>
      <c r="B6" s="12" t="inlineStr">
        <is>
          <t>P-300</t>
        </is>
      </c>
      <c r="C6" s="12" t="inlineStr">
        <is>
          <t>NY-01</t>
        </is>
      </c>
      <c r="D6" s="12" t="n">
        <v>4</v>
      </c>
      <c r="E6" s="12" t="inlineStr">
        <is>
          <t>No</t>
        </is>
      </c>
      <c r="F6" s="12" t="inlineStr">
        <is>
          <t>Yes</t>
        </is>
      </c>
      <c r="G6" s="12" t="inlineStr">
        <is>
          <t>Yes</t>
        </is>
      </c>
      <c r="H6" s="12" t="inlineStr">
        <is>
          <t>Join</t>
        </is>
      </c>
    </row>
    <row r="7">
      <c r="A7" s="12" t="inlineStr">
        <is>
          <t>ORD-103</t>
        </is>
      </c>
      <c r="B7" s="12" t="inlineStr">
        <is>
          <t>P-999</t>
        </is>
      </c>
      <c r="C7" s="12" t="inlineStr">
        <is>
          <t>NY-01</t>
        </is>
      </c>
      <c r="D7" s="12" t="n">
        <v>6</v>
      </c>
      <c r="E7" s="12" t="inlineStr">
        <is>
          <t>No</t>
        </is>
      </c>
      <c r="F7" s="12" t="inlineStr">
        <is>
          <t>No</t>
        </is>
      </c>
      <c r="G7" s="12" t="inlineStr">
        <is>
          <t>Yes</t>
        </is>
      </c>
      <c r="H7" s="12" t="inlineStr">
        <is>
          <t>Exception: unmatched product</t>
        </is>
      </c>
    </row>
    <row r="8">
      <c r="A8" s="12" t="inlineStr">
        <is>
          <t>ORD-104</t>
        </is>
      </c>
      <c r="B8" s="12" t="inlineStr">
        <is>
          <t>P-100</t>
        </is>
      </c>
      <c r="C8" s="12" t="inlineStr">
        <is>
          <t>ZZ-09</t>
        </is>
      </c>
      <c r="D8" s="12" t="n">
        <v>8</v>
      </c>
      <c r="E8" s="12" t="inlineStr">
        <is>
          <t>No</t>
        </is>
      </c>
      <c r="F8" s="12" t="inlineStr">
        <is>
          <t>Yes</t>
        </is>
      </c>
      <c r="G8" s="12" t="inlineStr">
        <is>
          <t>No</t>
        </is>
      </c>
      <c r="H8" s="12" t="inlineStr">
        <is>
          <t>Exception: unmatched location</t>
        </is>
      </c>
    </row>
    <row r="9">
      <c r="A9" s="12" t="inlineStr">
        <is>
          <t>ORD-105</t>
        </is>
      </c>
      <c r="B9" s="12" t="inlineStr">
        <is>
          <t>P-100</t>
        </is>
      </c>
      <c r="C9" s="12" t="inlineStr">
        <is>
          <t>NY-01</t>
        </is>
      </c>
      <c r="D9" s="12" t="n">
        <v>10</v>
      </c>
      <c r="E9" s="12" t="inlineStr">
        <is>
          <t>Yes</t>
        </is>
      </c>
      <c r="F9" s="12" t="inlineStr">
        <is>
          <t>Yes</t>
        </is>
      </c>
      <c r="G9" s="12" t="inlineStr">
        <is>
          <t>Yes</t>
        </is>
      </c>
      <c r="H9" s="12" t="inlineStr">
        <is>
          <t>Exception: exact duplicate</t>
        </is>
      </c>
    </row>
    <row r="10">
      <c r="A10" s="12" t="inlineStr">
        <is>
          <t>ORD-106</t>
        </is>
      </c>
      <c r="B10" s="12" t="inlineStr">
        <is>
          <t>P-200</t>
        </is>
      </c>
      <c r="C10" s="12" t="inlineStr">
        <is>
          <t>TX-01</t>
        </is>
      </c>
      <c r="D10" s="12" t="n"/>
      <c r="E10" s="12" t="inlineStr">
        <is>
          <t>No</t>
        </is>
      </c>
      <c r="F10" s="12" t="inlineStr">
        <is>
          <t>Yes</t>
        </is>
      </c>
      <c r="G10" s="12" t="inlineStr">
        <is>
          <t>Yes</t>
        </is>
      </c>
      <c r="H10" s="12" t="inlineStr">
        <is>
          <t>Exception: invalid units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0" customWidth="1" min="3" max="3"/>
    <col width="14" customWidth="1" min="4" max="4"/>
    <col width="18" customWidth="1" min="5" max="5"/>
    <col width="20" customWidth="1" min="6" max="6"/>
    <col width="18" customWidth="1" min="7" max="7"/>
    <col width="17" customWidth="1" min="8" max="8"/>
  </cols>
  <sheetData>
    <row r="1" ht="26" customHeight="1">
      <c r="A1" s="13" t="inlineStr">
        <is>
          <t>Usable Orders After Cleaning and Join</t>
        </is>
      </c>
    </row>
    <row r="2">
      <c r="A2" s="14" t="n"/>
      <c r="B2" s="14" t="n"/>
      <c r="C2" s="14" t="n"/>
      <c r="D2" s="14" t="n"/>
      <c r="E2" s="14" t="n"/>
      <c r="F2" s="14" t="n"/>
      <c r="G2" s="14" t="n"/>
      <c r="H2" s="14" t="n"/>
    </row>
    <row r="3">
      <c r="A3" s="9" t="inlineStr">
        <is>
          <t>Order ID</t>
        </is>
      </c>
      <c r="B3" s="9" t="inlineStr">
        <is>
          <t>Product</t>
        </is>
      </c>
      <c r="C3" s="9" t="inlineStr">
        <is>
          <t>Region</t>
        </is>
      </c>
      <c r="D3" s="9" t="inlineStr">
        <is>
          <t>Units</t>
        </is>
      </c>
      <c r="E3" s="9" t="inlineStr">
        <is>
          <t>Unit cost</t>
        </is>
      </c>
      <c r="F3" s="9" t="inlineStr">
        <is>
          <t>Extended cost</t>
        </is>
      </c>
      <c r="G3" s="9" t="inlineStr">
        <is>
          <t>Source order</t>
        </is>
      </c>
      <c r="H3" s="9" t="inlineStr">
        <is>
          <t>Join status</t>
        </is>
      </c>
    </row>
    <row r="4">
      <c r="A4" s="12" t="inlineStr">
        <is>
          <t>ORD-100</t>
        </is>
      </c>
      <c r="B4" s="12" t="inlineStr">
        <is>
          <t>Sensor module</t>
        </is>
      </c>
      <c r="C4" s="12" t="inlineStr">
        <is>
          <t>Northeast</t>
        </is>
      </c>
      <c r="D4" s="12" t="n">
        <v>10</v>
      </c>
      <c r="E4" s="16" t="n">
        <v>420</v>
      </c>
      <c r="F4" s="16">
        <f>D4*E4</f>
        <v/>
      </c>
      <c r="G4" s="12" t="inlineStr">
        <is>
          <t>ORD-100</t>
        </is>
      </c>
      <c r="H4" s="12" t="inlineStr">
        <is>
          <t>Joined</t>
        </is>
      </c>
    </row>
    <row r="5">
      <c r="A5" s="12" t="inlineStr">
        <is>
          <t>ORD-101</t>
        </is>
      </c>
      <c r="B5" s="12" t="inlineStr">
        <is>
          <t>Sensor module</t>
        </is>
      </c>
      <c r="C5" s="12" t="inlineStr">
        <is>
          <t>South</t>
        </is>
      </c>
      <c r="D5" s="12" t="n">
        <v>5</v>
      </c>
      <c r="E5" s="16" t="n">
        <v>420</v>
      </c>
      <c r="F5" s="16">
        <f>D5*E5</f>
        <v/>
      </c>
      <c r="G5" s="12" t="inlineStr">
        <is>
          <t>ORD-101</t>
        </is>
      </c>
      <c r="H5" s="12" t="inlineStr">
        <is>
          <t>Joined</t>
        </is>
      </c>
    </row>
    <row r="6">
      <c r="A6" s="12" t="inlineStr">
        <is>
          <t>ORD-102</t>
        </is>
      </c>
      <c r="B6" s="12" t="inlineStr">
        <is>
          <t>Filter cartridge</t>
        </is>
      </c>
      <c r="C6" s="12" t="inlineStr">
        <is>
          <t>Northeast</t>
        </is>
      </c>
      <c r="D6" s="12" t="n">
        <v>4</v>
      </c>
      <c r="E6" s="16" t="n">
        <v>85</v>
      </c>
      <c r="F6" s="16">
        <f>D6*E6</f>
        <v/>
      </c>
      <c r="G6" s="12" t="inlineStr">
        <is>
          <t>ORD-102</t>
        </is>
      </c>
      <c r="H6" s="12" t="inlineStr">
        <is>
          <t>Joined</t>
        </is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44" customWidth="1" min="3" max="3"/>
    <col width="32" customWidth="1" min="4" max="4"/>
  </cols>
  <sheetData>
    <row r="1" ht="26" customHeight="1">
      <c r="A1" s="13" t="inlineStr">
        <is>
          <t>Exceptions Requiring Follow-up</t>
        </is>
      </c>
    </row>
    <row r="2">
      <c r="A2" s="14" t="n"/>
      <c r="B2" s="14" t="n"/>
      <c r="C2" s="14" t="n"/>
      <c r="D2" s="14" t="n"/>
    </row>
    <row r="3">
      <c r="A3" s="9" t="inlineStr">
        <is>
          <t>Order ID</t>
        </is>
      </c>
      <c r="B3" s="9" t="inlineStr">
        <is>
          <t>Exception type</t>
        </is>
      </c>
      <c r="C3" s="9" t="inlineStr">
        <is>
          <t>Detail</t>
        </is>
      </c>
      <c r="D3" s="9" t="inlineStr">
        <is>
          <t>Disposition</t>
        </is>
      </c>
    </row>
    <row r="4">
      <c r="A4" s="12" t="inlineStr">
        <is>
          <t>ORD-103</t>
        </is>
      </c>
      <c r="B4" s="12" t="inlineStr">
        <is>
          <t>UNMATCHED_PRODUCT</t>
        </is>
      </c>
      <c r="C4" s="12" t="inlineStr">
        <is>
          <t>P-999 absent from Product_Master</t>
        </is>
      </c>
      <c r="D4" s="12" t="inlineStr">
        <is>
          <t>Retain for master-data review</t>
        </is>
      </c>
    </row>
    <row r="5">
      <c r="A5" s="12" t="inlineStr">
        <is>
          <t>ORD-104</t>
        </is>
      </c>
      <c r="B5" s="12" t="inlineStr">
        <is>
          <t>UNMATCHED_LOCATION</t>
        </is>
      </c>
      <c r="C5" s="12" t="inlineStr">
        <is>
          <t>ZZ-09 absent from Location_Master</t>
        </is>
      </c>
      <c r="D5" s="12" t="inlineStr">
        <is>
          <t>Retain for location review</t>
        </is>
      </c>
    </row>
    <row r="6">
      <c r="A6" s="12" t="inlineStr">
        <is>
          <t>ORD-105</t>
        </is>
      </c>
      <c r="B6" s="12" t="inlineStr">
        <is>
          <t>DUPLICATE</t>
        </is>
      </c>
      <c r="C6" s="12" t="inlineStr">
        <is>
          <t>Same normalized product/location/units/date as ORD-100</t>
        </is>
      </c>
      <c r="D6" s="12" t="inlineStr">
        <is>
          <t>Exclude from joined totals</t>
        </is>
      </c>
    </row>
    <row r="7">
      <c r="A7" s="12" t="inlineStr">
        <is>
          <t>ORD-106</t>
        </is>
      </c>
      <c r="B7" s="12" t="inlineStr">
        <is>
          <t>INVALID_UNITS</t>
        </is>
      </c>
      <c r="C7" s="12" t="inlineStr">
        <is>
          <t>Units value 'five' is non-numeric</t>
        </is>
      </c>
      <c r="D7" s="12" t="inlineStr">
        <is>
          <t>Retain for source correction</t>
        </is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38" customWidth="1" min="3" max="3"/>
    <col width="26" customWidth="1" min="4" max="4"/>
  </cols>
  <sheetData>
    <row r="1" ht="26" customHeight="1">
      <c r="A1" s="13" t="inlineStr">
        <is>
          <t>Operations Quality Summary</t>
        </is>
      </c>
    </row>
    <row r="2">
      <c r="A2" s="14" t="n"/>
      <c r="B2" s="14" t="n"/>
      <c r="C2" s="14" t="n"/>
      <c r="D2" s="14" t="n"/>
    </row>
    <row r="3">
      <c r="A3" s="9" t="inlineStr">
        <is>
          <t>Metric</t>
        </is>
      </c>
      <c r="B3" s="9" t="inlineStr">
        <is>
          <t>Value</t>
        </is>
      </c>
      <c r="C3" s="9" t="inlineStr">
        <is>
          <t>Interpretation</t>
        </is>
      </c>
      <c r="D3" s="9" t="inlineStr">
        <is>
          <t>Evidence</t>
        </is>
      </c>
    </row>
    <row r="4">
      <c r="A4" s="12" t="inlineStr">
        <is>
          <t>Valid joined orders</t>
        </is>
      </c>
      <c r="B4" s="12">
        <f>1+1+1</f>
        <v/>
      </c>
      <c r="C4" s="12" t="inlineStr">
        <is>
          <t>Rows eligible for operational total</t>
        </is>
      </c>
      <c r="D4" s="12" t="inlineStr">
        <is>
          <t>Joined_Data</t>
        </is>
      </c>
    </row>
    <row r="5">
      <c r="A5" s="12" t="inlineStr">
        <is>
          <t>Total extended cost</t>
        </is>
      </c>
      <c r="B5" s="16">
        <f>SUM('Joined_Data'!F4:F6)</f>
        <v/>
      </c>
      <c r="C5" s="12" t="inlineStr">
        <is>
          <t>Cost of valid joined orders</t>
        </is>
      </c>
      <c r="D5" s="12" t="inlineStr">
        <is>
          <t>Joined_Data</t>
        </is>
      </c>
    </row>
    <row r="6">
      <c r="A6" s="12" t="inlineStr">
        <is>
          <t>Exception count</t>
        </is>
      </c>
      <c r="B6" s="16">
        <f>1+1+1+1</f>
        <v/>
      </c>
      <c r="C6" s="12" t="inlineStr">
        <is>
          <t>Records retained for follow-up</t>
        </is>
      </c>
      <c r="D6" s="12" t="inlineStr">
        <is>
          <t>Exceptions</t>
        </is>
      </c>
    </row>
    <row r="7">
      <c r="A7" s="12" t="inlineStr">
        <is>
          <t>Northeast extended cost</t>
        </is>
      </c>
      <c r="B7" s="16">
        <f>'Joined_Data'!F4+'Joined_Data'!F6</f>
        <v/>
      </c>
      <c r="C7" s="12" t="inlineStr">
        <is>
          <t>Regional coverage check</t>
        </is>
      </c>
      <c r="D7" s="12" t="inlineStr">
        <is>
          <t>Joined_Data</t>
        </is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8" customWidth="1" min="4" max="4"/>
  </cols>
  <sheetData>
    <row r="1" ht="26" customHeight="1">
      <c r="A1" s="13" t="inlineStr">
        <is>
          <t>Cleaning and Join Checks</t>
        </is>
      </c>
    </row>
    <row r="2">
      <c r="A2" s="14" t="n"/>
      <c r="B2" s="14" t="n"/>
      <c r="C2" s="14" t="n"/>
      <c r="D2" s="14" t="n"/>
    </row>
    <row r="3">
      <c r="A3" s="9" t="inlineStr">
        <is>
          <t>Check</t>
        </is>
      </c>
      <c r="B3" s="9" t="inlineStr">
        <is>
          <t>Value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Joined rows</t>
        </is>
      </c>
      <c r="B4" s="12">
        <f>'Summary'!B4</f>
        <v/>
      </c>
      <c r="C4" s="12" t="n">
        <v>3</v>
      </c>
      <c r="D4" s="12" t="inlineStr">
        <is>
          <t>Valid non-duplicate records only</t>
        </is>
      </c>
    </row>
    <row r="5">
      <c r="A5" s="12" t="inlineStr">
        <is>
          <t>Exceptions</t>
        </is>
      </c>
      <c r="B5" s="12">
        <f>'Summary'!B6</f>
        <v/>
      </c>
      <c r="C5" s="12" t="n">
        <v>4</v>
      </c>
      <c r="D5" s="12" t="inlineStr">
        <is>
          <t>No exception may disappear</t>
        </is>
      </c>
    </row>
    <row r="6">
      <c r="A6" s="12" t="inlineStr">
        <is>
          <t>Total cost</t>
        </is>
      </c>
      <c r="B6" s="12">
        <f>'Summary'!B5</f>
        <v/>
      </c>
      <c r="C6" s="12" t="n">
        <v>3940</v>
      </c>
      <c r="D6" s="12" t="inlineStr">
        <is>
          <t>Joined extended costs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2026-08-30T11:33:57Z</dcterms:created>
  <dcterms:modified xmlns:dcterms="http://purl.org/dc/terms/" xmlns:xsi="http://www.w3.org/2001/XMLSchema-instance" xsi:type="dcterms:W3CDTF">2026-08-30T11:33:57Z</dcterms:modified>
</cp:coreProperties>
</file>