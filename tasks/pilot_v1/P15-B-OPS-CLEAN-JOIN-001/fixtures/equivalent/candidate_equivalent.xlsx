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61669a6a2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f79a8908dc9e425c"/>
    <x:sheet xmlns:r="http://schemas.openxmlformats.org/officeDocument/2006/relationships" name="Product_Master" sheetId="2" r:id="Re8a3d97f5dde42fa"/>
    <x:sheet xmlns:r="http://schemas.openxmlformats.org/officeDocument/2006/relationships" name="Location_Master" sheetId="3" r:id="R070f71e50b6b4a9d"/>
    <x:sheet xmlns:r="http://schemas.openxmlformats.org/officeDocument/2006/relationships" name="Clean_Data" sheetId="4" r:id="Rf691a73ecfdf48c5"/>
    <x:sheet xmlns:r="http://schemas.openxmlformats.org/officeDocument/2006/relationships" name="Joined_Data" sheetId="5" r:id="R4ab4b0485bf04bd6"/>
    <x:sheet xmlns:r="http://schemas.openxmlformats.org/officeDocument/2006/relationships" name="Exceptions" sheetId="6" r:id="R62d41fb5b69e4aac"/>
    <x:sheet xmlns:r="http://schemas.openxmlformats.org/officeDocument/2006/relationships" name="Summary" sheetId="7" r:id="R18cc737009cf47e1"/>
    <x:sheet xmlns:r="http://schemas.openxmlformats.org/officeDocument/2006/relationships" name="Checks" sheetId="8" r:id="R26a1d4e2d4db4dc9"/>
    <x:sheet xmlns:r="http://schemas.openxmlformats.org/officeDocument/2006/relationships" name="Join_Control" sheetId="9" r:id="R75a3915909c3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1" fontId="0" fillId="0" borderId="3" xfId="0" applyNumberFormat="1" applyFont="1" applyFill="1" applyBorder="1"/>
    <x:xf numFmtId="200" fontId="0" fillId="0" xfId="0" applyNumberFormat="1" applyFont="1" applyFill="1" applyBorder="0"/>
    <x:xf numFmtId="201" fontId="0" fillId="0" xfId="0" applyNumberFormat="1" applyFont="1" applyFill="1" applyBorder="0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3607637fb4e9d" /><Relationship Type="http://schemas.openxmlformats.org/officeDocument/2006/relationships/theme" Target="/xl/theme/theme1.xml" Id="Rb9998a71fcd04136" /><Relationship Type="http://schemas.openxmlformats.org/officeDocument/2006/relationships/sharedStrings" Target="/xl/sharedStrings.xml" Id="Rcc61c78a74df4ae4" /><Relationship Type="http://schemas.openxmlformats.org/officeDocument/2006/relationships/worksheet" Target="/xl/worksheets/sheet1.xml" Id="Rf79a8908dc9e425c" /><Relationship Type="http://schemas.openxmlformats.org/officeDocument/2006/relationships/worksheet" Target="/xl/worksheets/sheet2.xml" Id="Re8a3d97f5dde42fa" /><Relationship Type="http://schemas.openxmlformats.org/officeDocument/2006/relationships/worksheet" Target="/xl/worksheets/sheet3.xml" Id="R070f71e50b6b4a9d" /><Relationship Type="http://schemas.openxmlformats.org/officeDocument/2006/relationships/worksheet" Target="/xl/worksheets/sheet4.xml" Id="Rf691a73ecfdf48c5" /><Relationship Type="http://schemas.openxmlformats.org/officeDocument/2006/relationships/worksheet" Target="/xl/worksheets/sheet5.xml" Id="R4ab4b0485bf04bd6" /><Relationship Type="http://schemas.openxmlformats.org/officeDocument/2006/relationships/worksheet" Target="/xl/worksheets/sheet6.xml" Id="R62d41fb5b69e4aac" /><Relationship Type="http://schemas.openxmlformats.org/officeDocument/2006/relationships/worksheet" Target="/xl/worksheets/sheet7.xml" Id="R18cc737009cf47e1" /><Relationship Type="http://schemas.openxmlformats.org/officeDocument/2006/relationships/worksheet" Target="/xl/worksheets/sheet8.xml" Id="R26a1d4e2d4db4dc9" /><Relationship Type="http://schemas.openxmlformats.org/officeDocument/2006/relationships/worksheet" Target="/xl/worksheets/sheet9.xml" Id="R75a3915909c3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f>'Raw_Orders'!D4</x:f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f>'Raw_Orders'!D5</x:f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f>'Raw_Orders'!D6</x:f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Valve kit</x:v>
      </x:c>
      <x:c r="C4" s="12" t="str">
        <x:v>Northeast</x:v>
      </x:c>
      <x:c r="D4" s="12" t="n">
        <x:f>'Clean_Data'!D4</x:f>
        <x:v>10</x:v>
      </x:c>
      <x:c r="E4" s="15" t="n">
        <x:f>'Product_Master'!D4</x:f>
        <x:v>150</x:v>
      </x:c>
      <x:c r="F4" s="15" t="n">
        <x:f>D4*E4</x:f>
        <x:v>1500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f>'Clean_Data'!D5</x:f>
        <x:v>5</x:v>
      </x:c>
      <x:c r="E5" s="15" t="n">
        <x:f>'Product_Master'!D5</x:f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f>'Clean_Data'!D6</x:f>
        <x:v>4</x:v>
      </x:c>
      <x:c r="E6" s="15" t="n">
        <x:f>'Product_Master'!D6</x:f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 t="str">
        <x:v>ORD-106</x:v>
      </x:c>
      <x:c r="B7" s="12" t="str">
        <x:v>INVALID_UNITS</x:v>
      </x:c>
      <x:c r="C7" s="12" t="str">
        <x:v>Units value 'five'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'Join_Control'!B4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'Join_Control'!B5</x:f>
        <x:v>3940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'Join_Control'!B6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'Join_Control'!B7</x:f>
        <x:v>1840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3940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</x:cols>
  <x:sheetData>
    <x:row r="1">
      <x:c r="A1" s="17" t="str">
        <x:v>Alternative Join Reconciliation Control</x:v>
      </x:c>
      <x:c r="B1" s="17"/>
      <x:c r="C1" s="17"/>
    </x:row>
    <x:row r="3">
      <x:c r="A3" s="30" t="str">
        <x:v>Control</x:v>
      </x:c>
      <x:c r="B3" s="30" t="str">
        <x:v>Calculated value</x:v>
      </x:c>
      <x:c r="C3" s="30" t="str">
        <x:v>Source</x:v>
      </x:c>
    </x:row>
    <x:row r="4">
      <x:c r="A4" s="21" t="str">
        <x:v>Valid joined records</x:v>
      </x:c>
      <x:c r="B4" s="31" t="n">
        <x:f>IF('Joined_Data'!A4&lt;&gt;"",1,0)+IF('Joined_Data'!A5&lt;&gt;"",1,0)+IF('Joined_Data'!A6&lt;&gt;"",1,0)</x:f>
        <x:v>3</x:v>
      </x:c>
      <x:c r="C4" s="23" t="str">
        <x:v>Joined_Data</x:v>
      </x:c>
    </x:row>
    <x:row r="5">
      <x:c r="A5" s="24" t="str">
        <x:v>Extended cost</x:v>
      </x:c>
      <x:c r="B5" s="32" t="n">
        <x:f>'Joined_Data'!F4+'Joined_Data'!F5+'Joined_Data'!F6</x:f>
        <x:v>3940</x:v>
      </x:c>
      <x:c r="C5" s="26" t="str">
        <x:v>Joined_Data</x:v>
      </x:c>
    </x:row>
    <x:row r="6">
      <x:c r="A6" s="24" t="str">
        <x:v>Exception records</x:v>
      </x:c>
      <x:c r="B6" s="33" t="n">
        <x:f>IF('Exceptions'!A4&lt;&gt;"",1,0)+IF('Exceptions'!A5&lt;&gt;"",1,0)+IF('Exceptions'!A6&lt;&gt;"",1,0)+IF('Exceptions'!A7&lt;&gt;"",1,0)</x:f>
        <x:v>4</x:v>
      </x:c>
      <x:c r="C6" s="26" t="str">
        <x:v>Exceptions</x:v>
      </x:c>
    </x:row>
    <x:row r="7">
      <x:c r="A7" s="27" t="str">
        <x:v>Northeast cost</x:v>
      </x:c>
      <x:c r="B7" s="34" t="n">
        <x:f>IF('Joined_Data'!C4="Northeast",'Joined_Data'!F4,0)+IF('Joined_Data'!C5="Northeast",'Joined_Data'!F5,0)+IF('Joined_Data'!C6="Northeast",'Joined_Data'!F6,0)</x:f>
        <x:v>1840</x:v>
      </x:c>
      <x:c r="C7" s="29" t="str">
        <x:v>Joined_Data</x:v>
      </x:c>
    </x:row>
  </x:sheetData>
  <x:mergeCells>
    <x:mergeCell ref="A1:C1"/>
  </x:mergeCells>
  <x:pageMargins left="0.7" right="0.7" top="0.75" bottom="0.75" header="0.3" footer="0.3"/>
</x:worksheet>
</file>