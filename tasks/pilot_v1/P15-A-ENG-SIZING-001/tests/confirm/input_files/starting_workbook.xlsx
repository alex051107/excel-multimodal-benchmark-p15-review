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69abc11ad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2861641e60942df"/>
    <x:sheet xmlns:r="http://schemas.openxmlformats.org/officeDocument/2006/relationships" name="Unit_Conversions" sheetId="2" r:id="Rbce4c38418e34dc9"/>
    <x:sheet xmlns:r="http://schemas.openxmlformats.org/officeDocument/2006/relationships" name="Calculations" sheetId="3" r:id="Rbf1430a19a9540b0"/>
    <x:sheet xmlns:r="http://schemas.openxmlformats.org/officeDocument/2006/relationships" name="Equipment_Selection" sheetId="4" r:id="R268f23dc7ab944af"/>
    <x:sheet xmlns:r="http://schemas.openxmlformats.org/officeDocument/2006/relationships" name="Checks" sheetId="5" r:id="R228ec38ab2d8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06162c98a40e8" /><Relationship Type="http://schemas.openxmlformats.org/officeDocument/2006/relationships/theme" Target="/xl/theme/theme1.xml" Id="R1d813ce907d34e15" /><Relationship Type="http://schemas.openxmlformats.org/officeDocument/2006/relationships/sharedStrings" Target="/xl/sharedStrings.xml" Id="R53efb75bf0814934" /><Relationship Type="http://schemas.openxmlformats.org/officeDocument/2006/relationships/worksheet" Target="/xl/worksheets/sheet1.xml" Id="Rc2861641e60942df" /><Relationship Type="http://schemas.openxmlformats.org/officeDocument/2006/relationships/worksheet" Target="/xl/worksheets/sheet2.xml" Id="Rbce4c38418e34dc9" /><Relationship Type="http://schemas.openxmlformats.org/officeDocument/2006/relationships/worksheet" Target="/xl/worksheets/sheet3.xml" Id="Rbf1430a19a9540b0" /><Relationship Type="http://schemas.openxmlformats.org/officeDocument/2006/relationships/worksheet" Target="/xl/worksheets/sheet4.xml" Id="R268f23dc7ab944af" /><Relationship Type="http://schemas.openxmlformats.org/officeDocument/2006/relationships/worksheet" Target="/xl/worksheets/sheet5.xml" Id="R228ec38ab2d8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Secondary-Loop Process-Water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36</x:v>
      </x:c>
      <x:c r="C4" s="16" t="str">
        <x:v>L/s</x:v>
      </x:c>
    </x:row>
    <x:row r="5">
      <x:c r="A5" s="16" t="str">
        <x:v>Static head</x:v>
      </x:c>
      <x:c r="B5" s="16" t="n">
        <x:v>16</x:v>
      </x:c>
      <x:c r="C5" s="16" t="str">
        <x:v>m</x:v>
      </x:c>
    </x:row>
    <x:row r="6">
      <x:c r="A6" s="16" t="str">
        <x:v>Pipe length</x:v>
      </x:c>
      <x:c r="B6" s="16" t="n">
        <x:v>210</x:v>
      </x:c>
      <x:c r="C6" s="16" t="str">
        <x:v>m</x:v>
      </x:c>
    </x:row>
    <x:row r="7">
      <x:c r="A7" s="16" t="str">
        <x:v>Pipe inside diameter</x:v>
      </x:c>
      <x:c r="B7" s="16" t="n">
        <x:v>125</x:v>
      </x:c>
      <x:c r="C7" s="16" t="str">
        <x:v>mm</x:v>
      </x:c>
    </x:row>
    <x:row r="8">
      <x:c r="A8" s="16" t="str">
        <x:v>Darcy friction factor</x:v>
      </x:c>
      <x:c r="B8" s="16" t="n">
        <x:v>0.021</x:v>
      </x:c>
      <x:c r="C8" s="16" t="str">
        <x:v>dimensionless</x:v>
      </x:c>
    </x:row>
    <x:row r="9">
      <x:c r="A9" s="16" t="str">
        <x:v>Pump efficiency</x:v>
      </x:c>
      <x:c r="B9" s="17" t="n">
        <x:v>0.76</x:v>
      </x:c>
      <x:c r="C9" s="16" t="str">
        <x:v>fraction</x:v>
      </x:c>
    </x:row>
    <x:row r="10">
      <x:c r="A10" s="16" t="str">
        <x:v>Safety factor</x:v>
      </x:c>
      <x:c r="B10" s="17" t="n">
        <x:v>0.12</x:v>
      </x:c>
      <x:c r="C10" s="16" t="str">
        <x:v>fraction</x:v>
      </x:c>
    </x:row>
    <x:row r="11">
      <x:c r="A11" s="16" t="str">
        <x:v>Fluid density</x:v>
      </x:c>
      <x:c r="B11" s="16" t="n">
        <x:v>997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36</x:v>
      </x:c>
      <x:c r="C4" s="19"/>
      <x:c r="D4" s="16" t="str">
        <x:v>m³/s</x:v>
      </x:c>
    </x:row>
    <x:row r="5">
      <x:c r="A5" s="16" t="str">
        <x:v>Pipe diameter</x:v>
      </x:c>
      <x:c r="B5" s="19" t="n">
        <x:f>'Inputs'!B7</x:f>
        <x:v>125</x:v>
      </x:c>
      <x:c r="C5" s="19"/>
      <x:c r="D5" s="16" t="str">
        <x:v>m</x:v>
      </x:c>
    </x:row>
    <x:row r="6">
      <x:c r="A6" s="16" t="str">
        <x:v>Cross-sectional area</x:v>
      </x:c>
      <x:c r="B6" s="19"/>
      <x:c r="C6" s="19"/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Secondary-Loop 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/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/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/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/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/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/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/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/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Secondary-Loop 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H-080</x:v>
      </x:c>
      <x:c r="B4" s="21" t="n">
        <x:v>38</x:v>
      </x:c>
      <x:c r="C4" s="21" t="n">
        <x:v>28</x:v>
      </x:c>
      <x:c r="D4" s="21" t="n">
        <x:v>15</x:v>
      </x:c>
      <x:c r="E4" s="16"/>
      <x:c r="F4" s="16"/>
    </x:row>
    <x:row r="5">
      <x:c r="A5" s="16" t="str">
        <x:v>H-140</x:v>
      </x:c>
      <x:c r="B5" s="21" t="n">
        <x:v>52</x:v>
      </x:c>
      <x:c r="C5" s="21" t="n">
        <x:v>40</x:v>
      </x:c>
      <x:c r="D5" s="21" t="n">
        <x:v>22</x:v>
      </x:c>
      <x:c r="E5" s="16"/>
      <x:c r="F5" s="16"/>
    </x:row>
    <x:row r="6">
      <x:c r="A6" s="16" t="str">
        <x:v>H-220</x:v>
      </x:c>
      <x:c r="B6" s="21" t="n">
        <x:v>74</x:v>
      </x:c>
      <x:c r="C6" s="21" t="n">
        <x:v>52</x:v>
      </x:c>
      <x:c r="D6" s="21" t="n">
        <x:v>30</x:v>
      </x:c>
      <x:c r="E6" s="16"/>
      <x:c r="F6" s="16"/>
    </x:row>
    <x:row r="7">
      <x:c r="A7" s="16" t="str">
        <x:v>Selected pump</x:v>
      </x:c>
      <x:c r="B7" s="16"/>
      <x:c r="C7" s="16"/>
      <x:c r="D7" s="16"/>
      <x:c r="E7" s="16"/>
      <x:c r="F7" s="16"/>
    </x:row>
    <x:row r="8">
      <x:c r="A8" s="16" t="str">
        <x:v>Selection check</x:v>
      </x:c>
      <x:c r="B8" s="16"/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Secondary-Loop 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</x:v>
      </x:c>
      <x:c r="C4" s="16" t="n">
        <x:v>0.036</x:v>
      </x:c>
      <x:c r="D4" s="16" t="str">
        <x:f>IF(ABS(B4-C4)&lt;0.0001,"PASS","CHECK")</x:f>
        <x:v>CHECK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-16</x:v>
      </x:c>
      <x:c r="C5" s="16"/>
      <x:c r="D5" s="16" t="str">
        <x:f>IF(B5&gt;0,"PASS","CHECK")</x:f>
        <x:v>CHECK</x:v>
      </x:c>
      <x:c r="E5" s="16" t="str">
        <x:v>TDH must exceed static + friction</x:v>
      </x:c>
    </x:row>
    <x:row r="6">
      <x:c r="A6" s="16" t="str">
        <x:v>Selected pump eligible</x:v>
      </x:c>
      <x:c r="B6" s="16" t="n">
        <x:f>'Equipment_Selection'!B8</x:f>
        <x:v>0</x:v>
      </x:c>
      <x:c r="C6" s="16" t="str">
        <x:v>PASS</x:v>
      </x:c>
      <x:c r="D6" s="16" t="str">
        <x:f>IF(B6=C6,"PASS","CHECK")</x:f>
        <x:v>CHECK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