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6c5c107f4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f11767d5ff34813"/>
    <x:sheet xmlns:r="http://schemas.openxmlformats.org/officeDocument/2006/relationships" name="Unit_Conversions" sheetId="2" r:id="Rfa918087d39c4fb2"/>
    <x:sheet xmlns:r="http://schemas.openxmlformats.org/officeDocument/2006/relationships" name="Calculations" sheetId="3" r:id="Rac8754c354d14172"/>
    <x:sheet xmlns:r="http://schemas.openxmlformats.org/officeDocument/2006/relationships" name="Equipment_Selection" sheetId="4" r:id="R1cb0ab4dede141b9"/>
    <x:sheet xmlns:r="http://schemas.openxmlformats.org/officeDocument/2006/relationships" name="Checks" sheetId="5" r:id="Rdce5488be942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d1e6870d84678" /><Relationship Type="http://schemas.openxmlformats.org/officeDocument/2006/relationships/theme" Target="/xl/theme/theme1.xml" Id="R48cc453b411446f9" /><Relationship Type="http://schemas.openxmlformats.org/officeDocument/2006/relationships/sharedStrings" Target="/xl/sharedStrings.xml" Id="Rf3a0025c628a4de2" /><Relationship Type="http://schemas.openxmlformats.org/officeDocument/2006/relationships/worksheet" Target="/xl/worksheets/sheet1.xml" Id="Raf11767d5ff34813" /><Relationship Type="http://schemas.openxmlformats.org/officeDocument/2006/relationships/worksheet" Target="/xl/worksheets/sheet2.xml" Id="Rfa918087d39c4fb2" /><Relationship Type="http://schemas.openxmlformats.org/officeDocument/2006/relationships/worksheet" Target="/xl/worksheets/sheet3.xml" Id="Rac8754c354d14172" /><Relationship Type="http://schemas.openxmlformats.org/officeDocument/2006/relationships/worksheet" Target="/xl/worksheets/sheet4.xml" Id="R1cb0ab4dede141b9" /><Relationship Type="http://schemas.openxmlformats.org/officeDocument/2006/relationships/worksheet" Target="/xl/worksheets/sheet5.xml" Id="Rdce5488be94249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Secondary-Loop Process-Water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36</x:v>
      </x:c>
      <x:c r="C4" s="16" t="str">
        <x:v>L/s</x:v>
      </x:c>
    </x:row>
    <x:row r="5">
      <x:c r="A5" s="16" t="str">
        <x:v>Static head</x:v>
      </x:c>
      <x:c r="B5" s="16" t="n">
        <x:v>16</x:v>
      </x:c>
      <x:c r="C5" s="16" t="str">
        <x:v>m</x:v>
      </x:c>
    </x:row>
    <x:row r="6">
      <x:c r="A6" s="16" t="str">
        <x:v>Pipe length</x:v>
      </x:c>
      <x:c r="B6" s="16" t="n">
        <x:v>210</x:v>
      </x:c>
      <x:c r="C6" s="16" t="str">
        <x:v>m</x:v>
      </x:c>
    </x:row>
    <x:row r="7">
      <x:c r="A7" s="16" t="str">
        <x:v>Pipe inside diameter</x:v>
      </x:c>
      <x:c r="B7" s="16" t="n">
        <x:v>125</x:v>
      </x:c>
      <x:c r="C7" s="16" t="str">
        <x:v>mm</x:v>
      </x:c>
    </x:row>
    <x:row r="8">
      <x:c r="A8" s="16" t="str">
        <x:v>Darcy friction factor</x:v>
      </x:c>
      <x:c r="B8" s="16" t="n">
        <x:v>0.021</x:v>
      </x:c>
      <x:c r="C8" s="16" t="str">
        <x:v>dimensionless</x:v>
      </x:c>
    </x:row>
    <x:row r="9">
      <x:c r="A9" s="16" t="str">
        <x:v>Pump efficiency</x:v>
      </x:c>
      <x:c r="B9" s="17" t="n">
        <x:v>0.76</x:v>
      </x:c>
      <x:c r="C9" s="16" t="str">
        <x:v>fraction</x:v>
      </x:c>
    </x:row>
    <x:row r="10">
      <x:c r="A10" s="16" t="str">
        <x:v>Safety factor</x:v>
      </x:c>
      <x:c r="B10" s="17" t="n">
        <x:v>0.12</x:v>
      </x:c>
      <x:c r="C10" s="16" t="str">
        <x:v>fraction</x:v>
      </x:c>
    </x:row>
    <x:row r="11">
      <x:c r="A11" s="16" t="str">
        <x:v>Fluid density</x:v>
      </x:c>
      <x:c r="B11" s="16" t="n">
        <x:v>997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36</x:v>
      </x:c>
      <x:c r="C4" s="19" t="n">
        <x:f>B4/1000</x:f>
        <x:v>0.036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125</x:v>
      </x:c>
      <x:c r="C5" s="19" t="n">
        <x:f>B5/1000</x:f>
        <x:v>0.125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PI()*C5^2/4</x:f>
        <x:v>0.01227184630308513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Secondary-Loop 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'Unit_Conversions'!C4/'Unit_Conversions'!C6</x:f>
        <x:v>2.933543911069815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B4^2/(2*'Inputs'!B12)</x:f>
        <x:v>0.43861773079382194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15.474433542406038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('Inputs'!B5+B6)*(1+'Inputs'!B10)</x:f>
        <x:v>35.251365567494766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12.412024147025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16.33161071976974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'Inputs'!B4*(1+'Inputs'!B10)</x:f>
        <x:v>40.32000000000001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B9*(1+'Inputs'!B10)</x:f>
        <x:v>18.29140400614211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Secondary-Loop 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H-080</x:v>
      </x:c>
      <x:c r="B4" s="21" t="n">
        <x:v>38</x:v>
      </x:c>
      <x:c r="C4" s="21" t="n">
        <x:v>28</x:v>
      </x:c>
      <x:c r="D4" s="21" t="n">
        <x:v>15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H-140</x:v>
      </x:c>
      <x:c r="B5" s="21" t="n">
        <x:v>52</x:v>
      </x:c>
      <x:c r="C5" s="21" t="n">
        <x:v>40</x:v>
      </x:c>
      <x:c r="D5" s="21" t="n">
        <x:v>22</x:v>
      </x:c>
      <x:c r="E5" s="16" t="str">
        <x:f>IF(AND(B5&gt;='Calculations'!B10,C5&gt;='Calculations'!B7,D5&gt;='Calculations'!B11),"Eligible","Ineligible")</x:f>
        <x:v>Eligible</x:v>
      </x:c>
      <x:c r="F5" s="16" t="str">
        <x:f>IF(E5="Eligible","Meets flow, head, and motor requirements","Fails at least one constraint")</x:f>
        <x:v>Meets flow, head, and motor requirements</x:v>
      </x:c>
    </x:row>
    <x:row r="6">
      <x:c r="A6" s="16" t="str">
        <x:v>H-220</x:v>
      </x:c>
      <x:c r="B6" s="21" t="n">
        <x:v>74</x:v>
      </x:c>
      <x:c r="C6" s="21" t="n">
        <x:v>52</x:v>
      </x:c>
      <x:c r="D6" s="21" t="n">
        <x:v>30</x:v>
      </x:c>
      <x:c r="E6" s="16" t="str">
        <x:f>IF(AND(B6&gt;='Calculations'!B10,C6&gt;='Calculations'!B7,D6&gt;='Calculations'!B11),"Eligible","Ineligible")</x:f>
        <x:v>Eligible</x:v>
      </x:c>
      <x:c r="F6" s="16" t="str">
        <x:f>IF(E6="Eligible","Meets flow, head, and motor requirements","Fails at least one constraint")</x:f>
        <x:v>Meets flow, head, and motor requirements</x:v>
      </x:c>
    </x:row>
    <x:row r="7">
      <x:c r="A7" s="16" t="str">
        <x:v>Selected pump</x:v>
      </x:c>
      <x:c r="B7" s="16" t="str">
        <x:f>IF(E4="Eligible",A4,IF(E5="Eligible",A5,IF(E6="Eligible",A6,"No eligible pump")))</x:f>
        <x:v>H-140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PASS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Secondary-Loop 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0.036</x:v>
      </x:c>
      <x:c r="C4" s="16" t="n">
        <x:v>0.036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3.776932025088726</x:v>
      </x:c>
      <x:c r="C5" s="16"/>
      <x:c r="D5" s="16" t="str">
        <x:f>IF(B5&gt;0,"PASS","CHECK")</x:f>
        <x:v>PASS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PASS</x:v>
      </x:c>
      <x:c r="C6" s="16" t="str">
        <x:v>PASS</x:v>
      </x:c>
      <x:c r="D6" s="16" t="str">
        <x:f>IF(B6=C6,"PASS","CHECK")</x:f>
        <x:v>PASS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