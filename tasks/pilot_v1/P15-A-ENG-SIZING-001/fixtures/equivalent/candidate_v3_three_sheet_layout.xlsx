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" sheetId="1" state="visible" r:id="rId1"/>
    <sheet xmlns:r="http://schemas.openxmlformats.org/officeDocument/2006/relationships" name="Sizing" sheetId="2" state="visible" r:id="rId2"/>
    <sheet xmlns:r="http://schemas.openxmlformats.org/officeDocument/2006/relationships" name="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Design flow</t>
        </is>
      </c>
      <c r="B2" t="n">
        <v>42</v>
      </c>
      <c r="C2" t="inlineStr">
        <is>
          <t>L/s</t>
        </is>
      </c>
    </row>
    <row r="3">
      <c r="A3" t="inlineStr">
        <is>
          <t>Static head</t>
        </is>
      </c>
      <c r="B3" t="n">
        <v>18</v>
      </c>
      <c r="C3" t="inlineStr">
        <is>
          <t>m</t>
        </is>
      </c>
    </row>
    <row r="4">
      <c r="A4" t="inlineStr">
        <is>
          <t>Pipe length</t>
        </is>
      </c>
      <c r="B4" t="n">
        <v>140</v>
      </c>
      <c r="C4" t="inlineStr">
        <is>
          <t>m</t>
        </is>
      </c>
    </row>
    <row r="5">
      <c r="A5" t="inlineStr">
        <is>
          <t>Pipe internal diameter</t>
        </is>
      </c>
      <c r="B5" t="n">
        <v>150</v>
      </c>
      <c r="C5" t="inlineStr">
        <is>
          <t>mm</t>
        </is>
      </c>
    </row>
    <row r="6">
      <c r="A6" t="inlineStr">
        <is>
          <t>Darcy friction factor</t>
        </is>
      </c>
      <c r="B6" t="n">
        <v>0.02</v>
      </c>
      <c r="C6" t="inlineStr"/>
    </row>
    <row r="7">
      <c r="A7" t="inlineStr">
        <is>
          <t>Pump efficiency</t>
        </is>
      </c>
      <c r="B7" t="n">
        <v>0.72</v>
      </c>
      <c r="C7" t="inlineStr"/>
    </row>
    <row r="8">
      <c r="A8" t="inlineStr">
        <is>
          <t>Safety factor</t>
        </is>
      </c>
      <c r="B8" t="n">
        <v>0.15</v>
      </c>
      <c r="C8" t="inlineStr"/>
    </row>
    <row r="9">
      <c r="A9" t="inlineStr">
        <is>
          <t>Fluid density</t>
        </is>
      </c>
      <c r="B9" t="n">
        <v>998</v>
      </c>
      <c r="C9" t="inlineStr">
        <is>
          <t>kg/m3</t>
        </is>
      </c>
    </row>
    <row r="10">
      <c r="A10" t="inlineStr">
        <is>
          <t>Gravity</t>
        </is>
      </c>
      <c r="B10" t="n">
        <v>9.81</v>
      </c>
      <c r="C10" t="inlineStr">
        <is>
          <t>m/s2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rate</t>
        </is>
      </c>
      <c r="B1">
        <f>Design!B2/1000</f>
        <v/>
      </c>
      <c r="C1" t="inlineStr">
        <is>
          <t>m3/s</t>
        </is>
      </c>
    </row>
    <row r="2">
      <c r="A2" t="inlineStr">
        <is>
          <t>Pipe diameter</t>
        </is>
      </c>
      <c r="B2">
        <f>Design!B5/1000</f>
        <v/>
      </c>
      <c r="C2" t="inlineStr">
        <is>
          <t>m</t>
        </is>
      </c>
    </row>
    <row r="3">
      <c r="A3" t="inlineStr">
        <is>
          <t>Cross-sectional area</t>
        </is>
      </c>
      <c r="B3">
        <f>PI()*B2^2/4</f>
        <v/>
      </c>
      <c r="C3" t="inlineStr">
        <is>
          <t>m2</t>
        </is>
      </c>
    </row>
    <row r="4">
      <c r="A4" t="inlineStr">
        <is>
          <t>Flow velocity</t>
        </is>
      </c>
      <c r="B4">
        <f>B1/B3</f>
        <v/>
      </c>
      <c r="C4" t="inlineStr">
        <is>
          <t>m/s</t>
        </is>
      </c>
    </row>
    <row r="5">
      <c r="A5" t="inlineStr">
        <is>
          <t>Velocity head</t>
        </is>
      </c>
      <c r="B5">
        <f>B4^2/(2*Design!B10)</f>
        <v/>
      </c>
      <c r="C5" t="inlineStr">
        <is>
          <t>m</t>
        </is>
      </c>
    </row>
    <row r="6">
      <c r="A6" t="inlineStr">
        <is>
          <t>Friction head loss</t>
        </is>
      </c>
      <c r="B6">
        <f>Design!B6*(Design!B4/B2)*B5</f>
        <v/>
      </c>
      <c r="C6" t="inlineStr">
        <is>
          <t>m</t>
        </is>
      </c>
    </row>
    <row r="7">
      <c r="A7" t="inlineStr">
        <is>
          <t>Total dynamic head</t>
        </is>
      </c>
      <c r="B7">
        <f>(Design!B3+B6)*(1+Design!B8)</f>
        <v/>
      </c>
      <c r="C7" t="inlineStr">
        <is>
          <t>m</t>
        </is>
      </c>
    </row>
    <row r="8">
      <c r="A8" t="inlineStr">
        <is>
          <t>Hydraulic power</t>
        </is>
      </c>
      <c r="B8">
        <f>Design!B9*Design!B10*B1*B7/1000</f>
        <v/>
      </c>
      <c r="C8" t="inlineStr">
        <is>
          <t>kW</t>
        </is>
      </c>
    </row>
    <row r="9">
      <c r="A9" t="inlineStr">
        <is>
          <t>Shaft power</t>
        </is>
      </c>
      <c r="B9">
        <f>B8/Design!B7</f>
        <v/>
      </c>
      <c r="C9" t="inlineStr">
        <is>
          <t>kW</t>
        </is>
      </c>
    </row>
    <row r="10">
      <c r="A10" t="inlineStr">
        <is>
          <t>Minimum pump flow</t>
        </is>
      </c>
      <c r="B10">
        <f>Design!B2*(1+Design!B8)</f>
        <v/>
      </c>
      <c r="C10" t="inlineStr">
        <is>
          <t>L/s</t>
        </is>
      </c>
    </row>
    <row r="11">
      <c r="A11" t="inlineStr">
        <is>
          <t>Required motor rating</t>
        </is>
      </c>
      <c r="B11">
        <f>B9*(1+Design!B8)</f>
        <v/>
      </c>
      <c r="C11" t="inlineStr">
        <is>
          <t>kW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Pump ID</t>
        </is>
      </c>
      <c r="B1" t="inlineStr">
        <is>
          <t>Max flow (L/s)</t>
        </is>
      </c>
      <c r="C1" t="inlineStr">
        <is>
          <t>Max head (m)</t>
        </is>
      </c>
      <c r="D1" t="inlineStr">
        <is>
          <t>Motor (kW)</t>
        </is>
      </c>
      <c r="E1" t="inlineStr">
        <is>
          <t>Eligibility</t>
        </is>
      </c>
    </row>
    <row r="2">
      <c r="A2" t="inlineStr">
        <is>
          <t>P-120</t>
        </is>
      </c>
      <c r="B2" t="n">
        <v>45</v>
      </c>
      <c r="C2" t="n">
        <v>25</v>
      </c>
      <c r="D2" t="n">
        <v>11</v>
      </c>
      <c r="E2">
        <f>IF(AND(B2&gt;=Sizing!B10,C2&gt;=Sizing!B7,D2&gt;=Sizing!B11),"Eligible","Ineligible")</f>
        <v/>
      </c>
    </row>
    <row r="3">
      <c r="A3" t="inlineStr">
        <is>
          <t>P-180</t>
        </is>
      </c>
      <c r="B3" t="n">
        <v>58</v>
      </c>
      <c r="C3" t="n">
        <v>36</v>
      </c>
      <c r="D3" t="n">
        <v>18.5</v>
      </c>
      <c r="E3">
        <f>IF(AND(B3&gt;=Sizing!B10,C3&gt;=Sizing!B7,D3&gt;=Sizing!B11),"Eligible","Ineligible")</f>
        <v/>
      </c>
    </row>
    <row r="4">
      <c r="A4" t="inlineStr">
        <is>
          <t>P-250</t>
        </is>
      </c>
      <c r="B4" t="n">
        <v>80</v>
      </c>
      <c r="C4" t="n">
        <v>48</v>
      </c>
      <c r="D4" t="n">
        <v>30</v>
      </c>
      <c r="E4">
        <f>IF(AND(B4&gt;=Sizing!B10,C4&gt;=Sizing!B7,D4&gt;=Sizing!B11),"Eligible","Ineligible")</f>
        <v/>
      </c>
    </row>
    <row r="6">
      <c r="A6" t="inlineStr">
        <is>
          <t>Selected pump</t>
        </is>
      </c>
      <c r="B6">
        <f>IF(E2="Eligible",A2,IF(E3="Eligible",A3,IF(E4="Eligible",A4,"No eligible pump")))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2026-09-04T02:56:43Z</dcterms:created>
  <dcterms:modified xmlns:dcterms="http://purl.org/dc/terms/" xmlns:xsi="http://www.w3.org/2001/XMLSchema-instance" xsi:type="dcterms:W3CDTF">2026-09-04T02:56:43Z</dcterms:modified>
</cp:coreProperties>
</file>