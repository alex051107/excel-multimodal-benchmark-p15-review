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730d4b844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4e16fb058fd4578"/>
    <x:sheet xmlns:r="http://schemas.openxmlformats.org/officeDocument/2006/relationships" name="Unit_Conversions" sheetId="2" r:id="R569457a4074d4f99"/>
    <x:sheet xmlns:r="http://schemas.openxmlformats.org/officeDocument/2006/relationships" name="Calculations" sheetId="3" r:id="R744b57c4e1344660"/>
    <x:sheet xmlns:r="http://schemas.openxmlformats.org/officeDocument/2006/relationships" name="Equipment_Selection" sheetId="4" r:id="R337383717b2c42a0"/>
    <x:sheet xmlns:r="http://schemas.openxmlformats.org/officeDocument/2006/relationships" name="Checks" sheetId="5" r:id="R93a6bf4d4b6f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98c9542c2405e" /><Relationship Type="http://schemas.openxmlformats.org/officeDocument/2006/relationships/theme" Target="/xl/theme/theme1.xml" Id="R516ab099ef8e4432" /><Relationship Type="http://schemas.openxmlformats.org/officeDocument/2006/relationships/sharedStrings" Target="/xl/sharedStrings.xml" Id="Rc85e23b670bf4be6" /><Relationship Type="http://schemas.openxmlformats.org/officeDocument/2006/relationships/worksheet" Target="/xl/worksheets/sheet1.xml" Id="R34e16fb058fd4578" /><Relationship Type="http://schemas.openxmlformats.org/officeDocument/2006/relationships/worksheet" Target="/xl/worksheets/sheet2.xml" Id="R569457a4074d4f99" /><Relationship Type="http://schemas.openxmlformats.org/officeDocument/2006/relationships/worksheet" Target="/xl/worksheets/sheet3.xml" Id="R744b57c4e1344660" /><Relationship Type="http://schemas.openxmlformats.org/officeDocument/2006/relationships/worksheet" Target="/xl/worksheets/sheet4.xml" Id="R337383717b2c42a0" /><Relationship Type="http://schemas.openxmlformats.org/officeDocument/2006/relationships/worksheet" Target="/xl/worksheets/sheet5.xml" Id="R93a6bf4d4b6f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 t="n">
        <x:f>'Inputs'!B4*0.001</x:f>
        <x:v>0.042</x:v>
      </x:c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 t="n">
        <x:f>'Inputs'!B7*0.001</x:f>
        <x:v>0.15</x:v>
      </x:c>
      <x:c r="D5" s="16" t="str">
        <x:v>m</x:v>
      </x:c>
    </x:row>
    <x:row r="6">
      <x:c r="A6" s="16" t="str">
        <x:v>Cross-sectional area</x:v>
      </x:c>
      <x:c r="B6" s="19"/>
      <x:c r="C6" s="19" t="n">
        <x:f>PI()*(C5/2)^2</x:f>
        <x:v>0.017671458676442587</x:v>
      </x:c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 t="n">
        <x:f>'Unit_Conversions'!C4/(PI()*('Unit_Conversions'!C5/2)^2)</x:f>
        <x:v>2.3767138168389703</x:v>
      </x:c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 t="n">
        <x:f>B4^2/'Inputs'!B12/2</x:f>
        <x:v>0.28790869353482496</x:v>
      </x:c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 t="n">
        <x:f>'Inputs'!B8*('Inputs'!B6/'Unit_Conversions'!C5)*B5</x:f>
        <x:v>5.374295612650066</x:v>
      </x:c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 t="n">
        <x:f>'Inputs'!B5*(1+'Inputs'!B10)+B6*(1+'Inputs'!B10)</x:f>
        <x:v>26.880439954547576</x:v>
      </x:c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 t="n">
        <x:f>'Inputs'!B11*'Inputs'!B12*'Unit_Conversions'!C4*B7/1000</x:f>
        <x:v>11.053128312332548</x:v>
      </x:c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 t="n">
        <x:f>B8/'Inputs'!B9</x:f>
        <x:v>15.351567100461873</x:v>
      </x:c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 t="n">
        <x:f>'Inputs'!B4+'Inputs'!B4*'Inputs'!B10</x:f>
        <x:v>48.3</x:v>
      </x:c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 t="n">
        <x:f>B8/'Inputs'!B9*(1+'Inputs'!B10)</x:f>
        <x:v>17.654302165531153</x:v>
      </x:c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 t="str">
        <x:f>IF(AND(B4&gt;='Calculations'!B10,C4&gt;='Calculations'!B7,D4&gt;='Calculations'!B11),"Eligible","Ineligible")</x:f>
        <x:v>Ineligible</x:v>
      </x:c>
      <x:c r="F4" s="16" t="str">
        <x:f>IF(E4="Eligible","Meets flow, head, and motor requirements","Fails at least one constraint")</x:f>
        <x:v>Fails at least one constraint</x:v>
      </x:c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 t="str">
        <x:f>IF(AND(B5&gt;='Calculations'!B10,C5&gt;='Calculations'!B7,D5&gt;='Calculations'!B11),"Eligible","Ineligible")</x:f>
        <x:v>Eligible</x:v>
      </x:c>
      <x:c r="F5" s="16" t="str">
        <x:f>IF(E5="Eligible","Meets flow, head, and motor requirements","Fails at least one constraint")</x:f>
        <x:v>Meets flow, head, and motor requirements</x:v>
      </x:c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 t="str">
        <x:f>IF(AND(B6&gt;='Calculations'!B10,C6&gt;='Calculations'!B7,D6&gt;='Calculations'!B11),"Eligible","Ineligible")</x:f>
        <x:v>Eligible</x:v>
      </x:c>
      <x:c r="F6" s="16" t="str">
        <x:f>IF(E6="Eligible","Meets flow, head, and motor requirements","Fails at least one constraint")</x:f>
        <x:v>Meets flow, head, and motor requirements</x:v>
      </x:c>
    </x:row>
    <x:row r="7">
      <x:c r="A7" s="16" t="str">
        <x:v>Selected pump</x:v>
      </x:c>
      <x:c r="B7" s="16" t="str">
        <x:f>IF(E4="Eligible",A4,IF(E5="Eligible",A5,IF(E6="Eligible",A6,"No eligible pump")))</x:f>
        <x:v>P-180</x:v>
      </x:c>
      <x:c r="C7" s="16"/>
      <x:c r="D7" s="16"/>
      <x:c r="E7" s="16"/>
      <x:c r="F7" s="16"/>
    </x:row>
    <x:row r="8">
      <x:c r="A8" s="16" t="str">
        <x:v>Selection check</x:v>
      </x:c>
      <x:c r="B8" s="16" t="str">
        <x:f>IF(B7="No eligible pump","FAIL","PASS")</x:f>
        <x:v>PASS</x:v>
      </x:c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0.042</x:v>
      </x:c>
      <x:c r="C4" s="16" t="n">
        <x:v>0.042</x:v>
      </x:c>
      <x:c r="D4" s="16" t="str">
        <x:f>IF(ABS(B4-C4)&lt;0.0001,"PASS","CHECK")</x:f>
        <x:v>PASS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3.5061443418975102</x:v>
      </x:c>
      <x:c r="C5" s="16"/>
      <x:c r="D5" s="16" t="str">
        <x:f>IF(B5&gt;0,"PASS","CHECK")</x:f>
        <x:v>PASS</x:v>
      </x:c>
      <x:c r="E5" s="16" t="str">
        <x:v>TDH must exceed static + friction</x:v>
      </x:c>
    </x:row>
    <x:row r="6">
      <x:c r="A6" s="16" t="str">
        <x:v>Selected pump eligible</x:v>
      </x:c>
      <x:c r="B6" s="16" t="str">
        <x:f>'Equipment_Selection'!B8</x:f>
        <x:v>PASS</x:v>
      </x:c>
      <x:c r="C6" s="16" t="str">
        <x:v>PASS</x:v>
      </x:c>
      <x:c r="D6" s="16" t="str">
        <x:f>IF(B6=C6,"PASS","CHECK")</x:f>
        <x:v>PASS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