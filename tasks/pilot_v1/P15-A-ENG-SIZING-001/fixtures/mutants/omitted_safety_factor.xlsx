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f6379fdaf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acc4c65856a4fe5"/>
    <x:sheet xmlns:r="http://schemas.openxmlformats.org/officeDocument/2006/relationships" name="Unit_Conversions" sheetId="2" r:id="Rb4342ab7b91f43d2"/>
    <x:sheet xmlns:r="http://schemas.openxmlformats.org/officeDocument/2006/relationships" name="Calculations" sheetId="3" r:id="R3a8dbde4a5fa4001"/>
    <x:sheet xmlns:r="http://schemas.openxmlformats.org/officeDocument/2006/relationships" name="Equipment_Selection" sheetId="4" r:id="Raf76396bce7d4e2a"/>
    <x:sheet xmlns:r="http://schemas.openxmlformats.org/officeDocument/2006/relationships" name="Checks" sheetId="5" r:id="R3d3eb6b1d684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d76897f0640bd" /><Relationship Type="http://schemas.openxmlformats.org/officeDocument/2006/relationships/theme" Target="/xl/theme/theme1.xml" Id="Rfabde93f12c24f50" /><Relationship Type="http://schemas.openxmlformats.org/officeDocument/2006/relationships/sharedStrings" Target="/xl/sharedStrings.xml" Id="Rc05b7f6bc6ba4706" /><Relationship Type="http://schemas.openxmlformats.org/officeDocument/2006/relationships/worksheet" Target="/xl/worksheets/sheet1.xml" Id="R8acc4c65856a4fe5" /><Relationship Type="http://schemas.openxmlformats.org/officeDocument/2006/relationships/worksheet" Target="/xl/worksheets/sheet2.xml" Id="Rb4342ab7b91f43d2" /><Relationship Type="http://schemas.openxmlformats.org/officeDocument/2006/relationships/worksheet" Target="/xl/worksheets/sheet3.xml" Id="R3a8dbde4a5fa4001" /><Relationship Type="http://schemas.openxmlformats.org/officeDocument/2006/relationships/worksheet" Target="/xl/worksheets/sheet4.xml" Id="Raf76396bce7d4e2a" /><Relationship Type="http://schemas.openxmlformats.org/officeDocument/2006/relationships/worksheet" Target="/xl/worksheets/sheet5.xml" Id="R3d3eb6b1d68446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 t="n">
        <x:f>B4/1000</x:f>
        <x:v>0.042</x:v>
      </x:c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 t="n">
        <x:f>B5/1000</x:f>
        <x:v>0.15</x:v>
      </x:c>
      <x:c r="D5" s="16" t="str">
        <x:v>m</x:v>
      </x:c>
    </x:row>
    <x:row r="6">
      <x:c r="A6" s="16" t="str">
        <x:v>Cross-sectional area</x:v>
      </x:c>
      <x:c r="B6" s="19"/>
      <x:c r="C6" s="19" t="n">
        <x:f>PI()*C5^2/4</x:f>
        <x:v>0.017671458676442587</x:v>
      </x:c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 t="n">
        <x:f>'Unit_Conversions'!C4/'Unit_Conversions'!C6</x:f>
        <x:v>2.3767138168389703</x:v>
      </x:c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 t="n">
        <x:f>B4^2/(2*'Inputs'!B12)</x:f>
        <x:v>0.28790869353482496</x:v>
      </x:c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 t="n">
        <x:f>'Inputs'!B8*('Inputs'!B6/'Unit_Conversions'!C5)*B5</x:f>
        <x:v>5.374295612650066</x:v>
      </x:c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 t="n">
        <x:f>'Inputs'!B5+B6</x:f>
        <x:v>23.374295612650066</x:v>
      </x:c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 t="n">
        <x:f>'Inputs'!B11*'Inputs'!B12*'Unit_Conversions'!C4*B7/1000</x:f>
        <x:v>9.611415923767433</x:v>
      </x:c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 t="n">
        <x:f>B8/'Inputs'!B9</x:f>
        <x:v>13.349188783010325</x:v>
      </x:c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 t="n">
        <x:f>'Inputs'!B4*(1+'Inputs'!B10)</x:f>
        <x:v>48.3</x:v>
      </x:c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 t="n">
        <x:f>B9*(1+'Inputs'!B10)</x:f>
        <x:v>15.351567100461873</x:v>
      </x:c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 t="str">
        <x:f>IF(AND(B4&gt;='Calculations'!B10,C4&gt;='Calculations'!B7,D4&gt;='Calculations'!B11),"Eligible","Ineligible")</x:f>
        <x:v>Ineligible</x:v>
      </x:c>
      <x:c r="F4" s="16" t="str">
        <x:f>IF(E4="Eligible","Meets flow, head, and motor requirements","Fails at least one constraint")</x:f>
        <x:v>Fails at least one constraint</x:v>
      </x:c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 t="str">
        <x:f>IF(AND(B5&gt;='Calculations'!B10,C5&gt;='Calculations'!B7,D5&gt;='Calculations'!B11),"Eligible","Ineligible")</x:f>
        <x:v>Eligible</x:v>
      </x:c>
      <x:c r="F5" s="16" t="str">
        <x:f>IF(E5="Eligible","Meets flow, head, and motor requirements","Fails at least one constraint")</x:f>
        <x:v>Meets flow, head, and motor requirements</x:v>
      </x:c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 t="str">
        <x:f>IF(AND(B6&gt;='Calculations'!B10,C6&gt;='Calculations'!B7,D6&gt;='Calculations'!B11),"Eligible","Ineligible")</x:f>
        <x:v>Eligible</x:v>
      </x:c>
      <x:c r="F6" s="16" t="str">
        <x:f>IF(E6="Eligible","Meets flow, head, and motor requirements","Fails at least one constraint")</x:f>
        <x:v>Meets flow, head, and motor requirements</x:v>
      </x:c>
    </x:row>
    <x:row r="7">
      <x:c r="A7" s="16" t="str">
        <x:v>Selected pump</x:v>
      </x:c>
      <x:c r="B7" s="16" t="str">
        <x:f>IF(E4="Eligible",A4,IF(E5="Eligible",A5,IF(E6="Eligible",A6,"No eligible pump")))</x:f>
        <x:v>P-180</x:v>
      </x:c>
      <x:c r="C7" s="16"/>
      <x:c r="D7" s="16"/>
      <x:c r="E7" s="16"/>
      <x:c r="F7" s="16"/>
    </x:row>
    <x:row r="8">
      <x:c r="A8" s="16" t="str">
        <x:v>Selection check</x:v>
      </x:c>
      <x:c r="B8" s="16" t="str">
        <x:f>IF(B7="No eligible pump","FAIL","PASS")</x:f>
        <x:v>PASS</x:v>
      </x:c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0.042</x:v>
      </x:c>
      <x:c r="C4" s="16" t="n">
        <x:v>0.042</x:v>
      </x:c>
      <x:c r="D4" s="16" t="str">
        <x:f>IF(ABS(B4-C4)&lt;0.0001,"PASS","CHECK")</x:f>
        <x:v>PASS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0</x:v>
      </x:c>
      <x:c r="C5" s="16"/>
      <x:c r="D5" s="16" t="str">
        <x:f>IF(B5&gt;0,"PASS","CHECK")</x:f>
        <x:v>CHECK</x:v>
      </x:c>
      <x:c r="E5" s="16" t="str">
        <x:v>TDH must exceed static + friction</x:v>
      </x:c>
    </x:row>
    <x:row r="6">
      <x:c r="A6" s="16" t="str">
        <x:v>Selected pump eligible</x:v>
      </x:c>
      <x:c r="B6" s="16" t="str">
        <x:f>'Equipment_Selection'!B8</x:f>
        <x:v>PASS</x:v>
      </x:c>
      <x:c r="C6" s="16" t="str">
        <x:v>PASS</x:v>
      </x:c>
      <x:c r="D6" s="16" t="str">
        <x:f>IF(B6=C6,"PASS","CHECK")</x:f>
        <x:v>PASS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