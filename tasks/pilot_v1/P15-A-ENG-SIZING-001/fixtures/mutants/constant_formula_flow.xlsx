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puts" sheetId="1" state="visible" r:id="rId1"/>
    <sheet xmlns:r="http://schemas.openxmlformats.org/officeDocument/2006/relationships" name="Unit_Conversions" sheetId="2" state="visible" r:id="rId2"/>
    <sheet xmlns:r="http://schemas.openxmlformats.org/officeDocument/2006/relationships" name="Calculations" sheetId="3" state="visible" r:id="rId3"/>
    <sheet xmlns:r="http://schemas.openxmlformats.org/officeDocument/2006/relationships" name="Equipment_Selection" sheetId="4" state="visible" r:id="rId4"/>
    <sheet xmlns:r="http://schemas.openxmlformats.org/officeDocument/2006/relationships" name="Checks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0"/>
    <numFmt numFmtId="166" formatCode="0.000"/>
  </numFmts>
  <fonts count="3">
    <font>
      <name val="Carlito"/>
      <sz val="11"/>
    </font>
    <font>
      <name val="Carlito"/>
      <b val="1"/>
      <color rgb="FFFFFFFF"/>
      <sz val="14"/>
    </font>
    <font>
      <name val="Carlito"/>
      <b val="1"/>
      <color rgb="FF1F2937"/>
      <sz val="11"/>
    </font>
  </fonts>
  <fills count="4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</fills>
  <borders count="2">
    <border/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8" customWidth="1" min="3" max="3"/>
  </cols>
  <sheetData>
    <row r="1" ht="26" customHeight="1">
      <c r="A1" s="14" t="inlineStr">
        <is>
          <t>Cooling-Water Pump Design Brief</t>
        </is>
      </c>
    </row>
    <row r="2">
      <c r="A2" s="15" t="n"/>
      <c r="B2" s="15" t="n"/>
      <c r="C2" s="15" t="n"/>
    </row>
    <row r="3">
      <c r="A3" s="10" t="inlineStr">
        <is>
          <t>Input</t>
        </is>
      </c>
      <c r="B3" s="10" t="inlineStr">
        <is>
          <t>Value</t>
        </is>
      </c>
      <c r="C3" s="10" t="inlineStr">
        <is>
          <t>Unit</t>
        </is>
      </c>
    </row>
    <row r="4">
      <c r="A4" s="16" t="inlineStr">
        <is>
          <t>Design flow</t>
        </is>
      </c>
      <c r="B4" s="16" t="n">
        <v>42</v>
      </c>
      <c r="C4" s="16" t="inlineStr">
        <is>
          <t>L/s</t>
        </is>
      </c>
    </row>
    <row r="5">
      <c r="A5" s="16" t="inlineStr">
        <is>
          <t>Static head</t>
        </is>
      </c>
      <c r="B5" s="16" t="n">
        <v>18</v>
      </c>
      <c r="C5" s="16" t="inlineStr">
        <is>
          <t>m</t>
        </is>
      </c>
    </row>
    <row r="6">
      <c r="A6" s="16" t="inlineStr">
        <is>
          <t>Pipe length</t>
        </is>
      </c>
      <c r="B6" s="16" t="n">
        <v>140</v>
      </c>
      <c r="C6" s="16" t="inlineStr">
        <is>
          <t>m</t>
        </is>
      </c>
    </row>
    <row r="7">
      <c r="A7" s="16" t="inlineStr">
        <is>
          <t>Pipe inside diameter</t>
        </is>
      </c>
      <c r="B7" s="16" t="n">
        <v>150</v>
      </c>
      <c r="C7" s="16" t="inlineStr">
        <is>
          <t>mm</t>
        </is>
      </c>
    </row>
    <row r="8">
      <c r="A8" s="16" t="inlineStr">
        <is>
          <t>Darcy friction factor</t>
        </is>
      </c>
      <c r="B8" s="16" t="n">
        <v>0.02</v>
      </c>
      <c r="C8" s="16" t="inlineStr">
        <is>
          <t>dimensionless</t>
        </is>
      </c>
    </row>
    <row r="9">
      <c r="A9" s="16" t="inlineStr">
        <is>
          <t>Pump efficiency</t>
        </is>
      </c>
      <c r="B9" s="22" t="n">
        <v>0.72</v>
      </c>
      <c r="C9" s="16" t="inlineStr">
        <is>
          <t>fraction</t>
        </is>
      </c>
    </row>
    <row r="10">
      <c r="A10" s="16" t="inlineStr">
        <is>
          <t>Safety factor</t>
        </is>
      </c>
      <c r="B10" s="22" t="n">
        <v>0.15</v>
      </c>
      <c r="C10" s="16" t="inlineStr">
        <is>
          <t>fraction</t>
        </is>
      </c>
    </row>
    <row r="11">
      <c r="A11" s="16" t="inlineStr">
        <is>
          <t>Fluid density</t>
        </is>
      </c>
      <c r="B11" s="16" t="n">
        <v>998</v>
      </c>
      <c r="C11" s="16" t="inlineStr">
        <is>
          <t>kg/m³</t>
        </is>
      </c>
    </row>
    <row r="12">
      <c r="A12" s="16" t="inlineStr">
        <is>
          <t>Gravity</t>
        </is>
      </c>
      <c r="B12" s="16" t="n">
        <v>9.81</v>
      </c>
      <c r="C12" s="16" t="inlineStr">
        <is>
          <t>m/s²</t>
        </is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5" customWidth="1" min="4" max="4"/>
  </cols>
  <sheetData>
    <row r="1" ht="26" customHeight="1">
      <c r="A1" s="14" t="inlineStr">
        <is>
          <t>Unit Conversions</t>
        </is>
      </c>
    </row>
    <row r="2">
      <c r="A2" s="15" t="n"/>
      <c r="B2" s="15" t="n"/>
      <c r="C2" s="15" t="n"/>
      <c r="D2" s="15" t="n"/>
    </row>
    <row r="3">
      <c r="A3" s="10" t="inlineStr">
        <is>
          <t>Quantity</t>
        </is>
      </c>
      <c r="B3" s="10" t="inlineStr">
        <is>
          <t>Source value</t>
        </is>
      </c>
      <c r="C3" s="10" t="inlineStr">
        <is>
          <t>Converted value</t>
        </is>
      </c>
      <c r="D3" s="10" t="inlineStr">
        <is>
          <t>Unit</t>
        </is>
      </c>
    </row>
    <row r="4">
      <c r="A4" s="16" t="inlineStr">
        <is>
          <t>Flow</t>
        </is>
      </c>
      <c r="B4" s="23">
        <f>'Inputs'!B4</f>
        <v/>
      </c>
      <c r="C4" s="23">
        <f>B4/1000</f>
        <v/>
      </c>
      <c r="D4" s="16" t="inlineStr">
        <is>
          <t>m³/s</t>
        </is>
      </c>
    </row>
    <row r="5">
      <c r="A5" s="16" t="inlineStr">
        <is>
          <t>Pipe diameter</t>
        </is>
      </c>
      <c r="B5" s="23">
        <f>'Inputs'!B7</f>
        <v/>
      </c>
      <c r="C5" s="23">
        <f>B5/1000</f>
        <v/>
      </c>
      <c r="D5" s="16" t="inlineStr">
        <is>
          <t>m</t>
        </is>
      </c>
    </row>
    <row r="6">
      <c r="A6" s="16" t="inlineStr">
        <is>
          <t>Cross-sectional area</t>
        </is>
      </c>
      <c r="B6" s="23" t="n"/>
      <c r="C6" s="23">
        <f>PI()*C5^2/4</f>
        <v/>
      </c>
      <c r="D6" s="16" t="inlineStr">
        <is>
          <t>m²</t>
        </is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4" customWidth="1" min="3" max="3"/>
    <col width="38" customWidth="1" min="4" max="4"/>
  </cols>
  <sheetData>
    <row r="1" ht="26" customHeight="1">
      <c r="A1" s="14" t="inlineStr">
        <is>
          <t>Hydraulic Calculations</t>
        </is>
      </c>
    </row>
    <row r="2">
      <c r="A2" s="15" t="n"/>
      <c r="B2" s="15" t="n"/>
      <c r="C2" s="15" t="n"/>
      <c r="D2" s="15" t="n"/>
    </row>
    <row r="3">
      <c r="A3" s="10" t="inlineStr">
        <is>
          <t>Calculation</t>
        </is>
      </c>
      <c r="B3" s="10" t="inlineStr">
        <is>
          <t>Value</t>
        </is>
      </c>
      <c r="C3" s="10" t="inlineStr">
        <is>
          <t>Unit</t>
        </is>
      </c>
      <c r="D3" s="10" t="inlineStr">
        <is>
          <t>Formula logic</t>
        </is>
      </c>
    </row>
    <row r="4">
      <c r="A4" s="16" t="inlineStr">
        <is>
          <t>Fluid velocity</t>
        </is>
      </c>
      <c r="B4" s="24">
        <f>'Unit_Conversions'!C4/'Unit_Conversions'!C6</f>
        <v/>
      </c>
      <c r="C4" s="16" t="inlineStr">
        <is>
          <t>m/s</t>
        </is>
      </c>
      <c r="D4" s="16" t="inlineStr">
        <is>
          <t>Q / area</t>
        </is>
      </c>
    </row>
    <row r="5">
      <c r="A5" s="16" t="inlineStr">
        <is>
          <t>Velocity head</t>
        </is>
      </c>
      <c r="B5" s="24">
        <f>B4^2/(2*'Inputs'!B12)</f>
        <v/>
      </c>
      <c r="C5" s="16" t="inlineStr">
        <is>
          <t>m</t>
        </is>
      </c>
      <c r="D5" s="16" t="inlineStr">
        <is>
          <t>v² / 2g</t>
        </is>
      </c>
    </row>
    <row r="6">
      <c r="A6" s="16" t="inlineStr">
        <is>
          <t>Friction head</t>
        </is>
      </c>
      <c r="B6" s="24">
        <f>'Inputs'!B8*('Inputs'!B6/'Unit_Conversions'!C5)*B5</f>
        <v/>
      </c>
      <c r="C6" s="16" t="inlineStr">
        <is>
          <t>m</t>
        </is>
      </c>
      <c r="D6" s="16" t="inlineStr">
        <is>
          <t>f × L/D × velocity head</t>
        </is>
      </c>
    </row>
    <row r="7">
      <c r="A7" s="16" t="inlineStr">
        <is>
          <t>Total dynamic head</t>
        </is>
      </c>
      <c r="B7" s="24">
        <f>('Inputs'!B5+B6)*(1+'Inputs'!B10)</f>
        <v/>
      </c>
      <c r="C7" s="16" t="inlineStr">
        <is>
          <t>m</t>
        </is>
      </c>
      <c r="D7" s="16" t="inlineStr">
        <is>
          <t>(static + friction) × safety</t>
        </is>
      </c>
    </row>
    <row r="8">
      <c r="A8" s="16" t="inlineStr">
        <is>
          <t>Hydraulic power</t>
        </is>
      </c>
      <c r="B8" s="24">
        <f>'Inputs'!B11*'Inputs'!B12*'Unit_Conversions'!C4*B7/1000</f>
        <v/>
      </c>
      <c r="C8" s="16" t="inlineStr">
        <is>
          <t>kW</t>
        </is>
      </c>
      <c r="D8" s="16" t="inlineStr">
        <is>
          <t>ρgQH / 1000</t>
        </is>
      </c>
    </row>
    <row r="9">
      <c r="A9" s="16" t="inlineStr">
        <is>
          <t>Required shaft power</t>
        </is>
      </c>
      <c r="B9" s="24">
        <f>B8/'Inputs'!B9</f>
        <v/>
      </c>
      <c r="C9" s="16" t="inlineStr">
        <is>
          <t>kW</t>
        </is>
      </c>
      <c r="D9" s="16" t="inlineStr">
        <is>
          <t>hydraulic power / efficiency</t>
        </is>
      </c>
    </row>
    <row r="10">
      <c r="A10" s="16" t="inlineStr">
        <is>
          <t>Minimum required flow</t>
        </is>
      </c>
      <c r="B10" s="24">
        <f>48.3</f>
        <v/>
      </c>
      <c r="C10" s="16" t="inlineStr">
        <is>
          <t>L/s</t>
        </is>
      </c>
      <c r="D10" s="16" t="inlineStr">
        <is>
          <t>design flow × safety</t>
        </is>
      </c>
    </row>
    <row r="11">
      <c r="A11" s="16" t="inlineStr">
        <is>
          <t>Minimum motor rating</t>
        </is>
      </c>
      <c r="B11" s="24">
        <f>B9*(1+'Inputs'!B10)</f>
        <v/>
      </c>
      <c r="C11" s="16" t="inlineStr">
        <is>
          <t>kW</t>
        </is>
      </c>
      <c r="D11" s="16" t="inlineStr">
        <is>
          <t>shaft power × safety</t>
        </is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17" customWidth="1" min="3" max="3"/>
    <col width="16" customWidth="1" min="4" max="4"/>
    <col width="16" customWidth="1" min="5" max="5"/>
    <col width="42" customWidth="1" min="6" max="6"/>
  </cols>
  <sheetData>
    <row r="1" ht="26" customHeight="1">
      <c r="A1" s="14" t="inlineStr">
        <is>
          <t>Pump Catalog and Eligibility</t>
        </is>
      </c>
    </row>
    <row r="2">
      <c r="A2" s="15" t="n"/>
      <c r="B2" s="15" t="n"/>
      <c r="C2" s="15" t="n"/>
      <c r="D2" s="15" t="n"/>
      <c r="E2" s="15" t="n"/>
      <c r="F2" s="15" t="n"/>
    </row>
    <row r="3">
      <c r="A3" s="10" t="inlineStr">
        <is>
          <t>Pump</t>
        </is>
      </c>
      <c r="B3" s="10" t="inlineStr">
        <is>
          <t>Max flow (L/s)</t>
        </is>
      </c>
      <c r="C3" s="10" t="inlineStr">
        <is>
          <t>Max head (m)</t>
        </is>
      </c>
      <c r="D3" s="10" t="inlineStr">
        <is>
          <t>Motor (kW)</t>
        </is>
      </c>
      <c r="E3" s="10" t="inlineStr">
        <is>
          <t>Eligibility</t>
        </is>
      </c>
      <c r="F3" s="10" t="inlineStr">
        <is>
          <t>Reason</t>
        </is>
      </c>
    </row>
    <row r="4">
      <c r="A4" s="16" t="inlineStr">
        <is>
          <t>P-120</t>
        </is>
      </c>
      <c r="B4" s="24" t="n">
        <v>45</v>
      </c>
      <c r="C4" s="24" t="n">
        <v>25</v>
      </c>
      <c r="D4" s="24" t="n">
        <v>11</v>
      </c>
      <c r="E4" s="16">
        <f>IF(AND(B4&gt;='Calculations'!B10,C4&gt;='Calculations'!B7,D4&gt;='Calculations'!B11),"Eligible","Ineligible")</f>
        <v/>
      </c>
      <c r="F4" s="16">
        <f>IF(E4="Eligible","Meets flow, head, and motor requirements","Fails at least one constraint")</f>
        <v/>
      </c>
    </row>
    <row r="5">
      <c r="A5" s="16" t="inlineStr">
        <is>
          <t>P-180</t>
        </is>
      </c>
      <c r="B5" s="24" t="n">
        <v>58</v>
      </c>
      <c r="C5" s="24" t="n">
        <v>36</v>
      </c>
      <c r="D5" s="24" t="n">
        <v>18.5</v>
      </c>
      <c r="E5" s="16">
        <f>IF(AND(B5&gt;='Calculations'!B10,C5&gt;='Calculations'!B7,D5&gt;='Calculations'!B11),"Eligible","Ineligible")</f>
        <v/>
      </c>
      <c r="F5" s="16">
        <f>IF(E5="Eligible","Meets flow, head, and motor requirements","Fails at least one constraint")</f>
        <v/>
      </c>
    </row>
    <row r="6">
      <c r="A6" s="16" t="inlineStr">
        <is>
          <t>P-250</t>
        </is>
      </c>
      <c r="B6" s="24" t="n">
        <v>80</v>
      </c>
      <c r="C6" s="24" t="n">
        <v>48</v>
      </c>
      <c r="D6" s="24" t="n">
        <v>30</v>
      </c>
      <c r="E6" s="16">
        <f>IF(AND(B6&gt;='Calculations'!B10,C6&gt;='Calculations'!B7,D6&gt;='Calculations'!B11),"Eligible","Ineligible")</f>
        <v/>
      </c>
      <c r="F6" s="16">
        <f>IF(E6="Eligible","Meets flow, head, and motor requirements","Fails at least one constraint")</f>
        <v/>
      </c>
    </row>
    <row r="7">
      <c r="A7" s="16" t="inlineStr">
        <is>
          <t>Selected pump</t>
        </is>
      </c>
      <c r="B7" s="16">
        <f>IF(E4="Eligible",A4,IF(E5="Eligible",A5,IF(E6="Eligible",A6,"No eligible pump")))</f>
        <v/>
      </c>
      <c r="C7" s="16" t="n"/>
      <c r="D7" s="16" t="n"/>
      <c r="E7" s="16" t="n"/>
      <c r="F7" s="16" t="n"/>
    </row>
    <row r="8">
      <c r="A8" s="16" t="inlineStr">
        <is>
          <t>Selection check</t>
        </is>
      </c>
      <c r="B8" s="16">
        <f>IF(B7="No eligible pump","FAIL","PASS")</f>
        <v/>
      </c>
      <c r="C8" s="16" t="n"/>
      <c r="D8" s="16" t="n"/>
      <c r="E8" s="16" t="n"/>
      <c r="F8" s="16" t="n"/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5" customWidth="1" min="4" max="4"/>
    <col width="40" customWidth="1" min="5" max="5"/>
  </cols>
  <sheetData>
    <row r="1" ht="26" customHeight="1">
      <c r="A1" s="14" t="inlineStr">
        <is>
          <t>Sizing Checks</t>
        </is>
      </c>
    </row>
    <row r="2">
      <c r="A2" s="15" t="n"/>
      <c r="B2" s="15" t="n"/>
      <c r="C2" s="15" t="n"/>
      <c r="D2" s="15" t="n"/>
      <c r="E2" s="15" t="n"/>
    </row>
    <row r="3">
      <c r="A3" s="10" t="inlineStr">
        <is>
          <t>Check</t>
        </is>
      </c>
      <c r="B3" s="10" t="inlineStr">
        <is>
          <t>Actual</t>
        </is>
      </c>
      <c r="C3" s="10" t="inlineStr">
        <is>
          <t>Expected</t>
        </is>
      </c>
      <c r="D3" s="10" t="inlineStr">
        <is>
          <t>Status</t>
        </is>
      </c>
      <c r="E3" s="10" t="inlineStr">
        <is>
          <t>Notes</t>
        </is>
      </c>
    </row>
    <row r="4">
      <c r="A4" s="16" t="inlineStr">
        <is>
          <t>Conversion: L/s to m³/s</t>
        </is>
      </c>
      <c r="B4" s="16">
        <f>'Unit_Conversions'!C4</f>
        <v/>
      </c>
      <c r="C4" s="16" t="n">
        <v>0.042</v>
      </c>
      <c r="D4" s="16">
        <f>IF(ABS(B4-C4)&lt;0.0001,"PASS","CHECK")</f>
        <v/>
      </c>
      <c r="E4" s="16" t="inlineStr">
        <is>
          <t>Design flow / 1000</t>
        </is>
      </c>
    </row>
    <row r="5">
      <c r="A5" s="16" t="inlineStr">
        <is>
          <t>Head safety factor applied</t>
        </is>
      </c>
      <c r="B5" s="16">
        <f>'Calculations'!B7-('Inputs'!B5+'Calculations'!B6)</f>
        <v/>
      </c>
      <c r="C5" s="16" t="n"/>
      <c r="D5" s="16">
        <f>IF(B5&gt;0,"PASS","CHECK")</f>
        <v/>
      </c>
      <c r="E5" s="16" t="inlineStr">
        <is>
          <t>TDH must exceed static + friction</t>
        </is>
      </c>
    </row>
    <row r="6">
      <c r="A6" s="16" t="inlineStr">
        <is>
          <t>Selected pump eligible</t>
        </is>
      </c>
      <c r="B6" s="16">
        <f>'Equipment_Selection'!B8</f>
        <v/>
      </c>
      <c r="C6" s="16" t="inlineStr">
        <is>
          <t>PASS</t>
        </is>
      </c>
      <c r="D6" s="16">
        <f>IF(B6=C6,"PASS","CHECK")</f>
        <v/>
      </c>
      <c r="E6" s="16" t="inlineStr">
        <is>
          <t>Catalog constraints</t>
        </is>
      </c>
    </row>
    <row r="7">
      <c r="A7" s="16" t="inlineStr">
        <is>
          <t>Units preserved</t>
        </is>
      </c>
      <c r="B7" s="16" t="n"/>
      <c r="C7" s="16" t="n"/>
      <c r="D7" s="16" t="n"/>
      <c r="E7" s="16" t="inlineStr">
        <is>
          <t>No input unit edits</t>
        </is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2026-09-04T02:56:43Z</dcterms:created>
  <dcterms:modified xmlns:dcterms="http://purl.org/dc/terms/" xmlns:xsi="http://www.w3.org/2001/XMLSchema-instance" xsi:type="dcterms:W3CDTF">2026-09-04T02:56:43Z</dcterms:modified>
</cp:coreProperties>
</file>