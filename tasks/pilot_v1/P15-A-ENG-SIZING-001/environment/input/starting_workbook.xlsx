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5a9174f60641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9c21e4857f2e4648"/>
    <x:sheet xmlns:r="http://schemas.openxmlformats.org/officeDocument/2006/relationships" name="Unit_Conversions" sheetId="2" r:id="Rc250ad6a51a64fb0"/>
    <x:sheet xmlns:r="http://schemas.openxmlformats.org/officeDocument/2006/relationships" name="Calculations" sheetId="3" r:id="R7fba6f0db3e54cd9"/>
    <x:sheet xmlns:r="http://schemas.openxmlformats.org/officeDocument/2006/relationships" name="Equipment_Selection" sheetId="4" r:id="Rf81dc0d6fdd14f31"/>
    <x:sheet xmlns:r="http://schemas.openxmlformats.org/officeDocument/2006/relationships" name="Checks" sheetId="5" r:id="Re78a3b67a57f49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0.0000"/>
    <x:numFmt numFmtId="202" formatCode="0.0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a37f04c82c486b" /><Relationship Type="http://schemas.openxmlformats.org/officeDocument/2006/relationships/theme" Target="/xl/theme/theme1.xml" Id="R19cac653885b4ccc" /><Relationship Type="http://schemas.openxmlformats.org/officeDocument/2006/relationships/sharedStrings" Target="/xl/sharedStrings.xml" Id="R09545c5bf5bc407c" /><Relationship Type="http://schemas.openxmlformats.org/officeDocument/2006/relationships/worksheet" Target="/xl/worksheets/sheet1.xml" Id="R9c21e4857f2e4648" /><Relationship Type="http://schemas.openxmlformats.org/officeDocument/2006/relationships/worksheet" Target="/xl/worksheets/sheet2.xml" Id="Rc250ad6a51a64fb0" /><Relationship Type="http://schemas.openxmlformats.org/officeDocument/2006/relationships/worksheet" Target="/xl/worksheets/sheet3.xml" Id="R7fba6f0db3e54cd9" /><Relationship Type="http://schemas.openxmlformats.org/officeDocument/2006/relationships/worksheet" Target="/xl/worksheets/sheet4.xml" Id="Rf81dc0d6fdd14f31" /><Relationship Type="http://schemas.openxmlformats.org/officeDocument/2006/relationships/worksheet" Target="/xl/worksheets/sheet5.xml" Id="Re78a3b67a57f495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8" hidden="0" customWidth="1"/>
    <x:col min="3" max="3" width="18" hidden="0" customWidth="1"/>
  </x:cols>
  <x:sheetData>
    <x:row r="1" ht="26" customHeight="1">
      <x:c r="A1" s="14" t="str">
        <x:v>Cooling-Water Pump Design Brief</x:v>
      </x:c>
      <x:c r="B1" s="14"/>
      <x:c r="C1" s="14"/>
      <x:c r="D1" s="4"/>
      <x:c r="E1" s="4"/>
    </x:row>
    <x:row r="2">
      <x:c r="A2" s="15"/>
      <x:c r="B2" s="15"/>
      <x:c r="C2" s="15"/>
    </x:row>
    <x:row r="3">
      <x:c r="A3" s="10" t="str">
        <x:v>Input</x:v>
      </x:c>
      <x:c r="B3" s="10" t="str">
        <x:v>Value</x:v>
      </x:c>
      <x:c r="C3" s="10" t="str">
        <x:v>Unit</x:v>
      </x:c>
    </x:row>
    <x:row r="4">
      <x:c r="A4" s="16" t="str">
        <x:v>Design flow</x:v>
      </x:c>
      <x:c r="B4" s="16" t="n">
        <x:v>42</x:v>
      </x:c>
      <x:c r="C4" s="16" t="str">
        <x:v>L/s</x:v>
      </x:c>
    </x:row>
    <x:row r="5">
      <x:c r="A5" s="16" t="str">
        <x:v>Static head</x:v>
      </x:c>
      <x:c r="B5" s="16" t="n">
        <x:v>18</x:v>
      </x:c>
      <x:c r="C5" s="16" t="str">
        <x:v>m</x:v>
      </x:c>
    </x:row>
    <x:row r="6">
      <x:c r="A6" s="16" t="str">
        <x:v>Pipe length</x:v>
      </x:c>
      <x:c r="B6" s="16" t="n">
        <x:v>140</x:v>
      </x:c>
      <x:c r="C6" s="16" t="str">
        <x:v>m</x:v>
      </x:c>
    </x:row>
    <x:row r="7">
      <x:c r="A7" s="16" t="str">
        <x:v>Pipe inside diameter</x:v>
      </x:c>
      <x:c r="B7" s="16" t="n">
        <x:v>150</x:v>
      </x:c>
      <x:c r="C7" s="16" t="str">
        <x:v>mm</x:v>
      </x:c>
    </x:row>
    <x:row r="8">
      <x:c r="A8" s="16" t="str">
        <x:v>Darcy friction factor</x:v>
      </x:c>
      <x:c r="B8" s="16" t="n">
        <x:v>0.02</x:v>
      </x:c>
      <x:c r="C8" s="16" t="str">
        <x:v>dimensionless</x:v>
      </x:c>
    </x:row>
    <x:row r="9">
      <x:c r="A9" s="16" t="str">
        <x:v>Pump efficiency</x:v>
      </x:c>
      <x:c r="B9" s="17" t="n">
        <x:v>0.72</x:v>
      </x:c>
      <x:c r="C9" s="16" t="str">
        <x:v>fraction</x:v>
      </x:c>
    </x:row>
    <x:row r="10">
      <x:c r="A10" s="16" t="str">
        <x:v>Safety factor</x:v>
      </x:c>
      <x:c r="B10" s="17" t="n">
        <x:v>0.15</x:v>
      </x:c>
      <x:c r="C10" s="16" t="str">
        <x:v>fraction</x:v>
      </x:c>
    </x:row>
    <x:row r="11">
      <x:c r="A11" s="16" t="str">
        <x:v>Fluid density</x:v>
      </x:c>
      <x:c r="B11" s="16" t="n">
        <x:v>998</x:v>
      </x:c>
      <x:c r="C11" s="16" t="str">
        <x:v>kg/m³</x:v>
      </x:c>
    </x:row>
    <x:row r="12">
      <x:c r="A12" s="16" t="str">
        <x:v>Gravity</x:v>
      </x:c>
      <x:c r="B12" s="16" t="n">
        <x:v>9.81</x:v>
      </x:c>
      <x:c r="C12" s="16" t="str">
        <x:v>m/s²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5" hidden="0" customWidth="1"/>
  </x:cols>
  <x:sheetData>
    <x:row r="1" ht="26" customHeight="1">
      <x:c r="A1" s="14" t="str">
        <x:v>Unit Conversions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10" t="str">
        <x:v>Quantity</x:v>
      </x:c>
      <x:c r="B3" s="10" t="str">
        <x:v>Source value</x:v>
      </x:c>
      <x:c r="C3" s="10" t="str">
        <x:v>Converted value</x:v>
      </x:c>
      <x:c r="D3" s="10" t="str">
        <x:v>Unit</x:v>
      </x:c>
    </x:row>
    <x:row r="4">
      <x:c r="A4" s="16" t="str">
        <x:v>Flow</x:v>
      </x:c>
      <x:c r="B4" s="19" t="n">
        <x:f>'Inputs'!B4</x:f>
        <x:v>42</x:v>
      </x:c>
      <x:c r="C4" s="19"/>
      <x:c r="D4" s="16" t="str">
        <x:v>m³/s</x:v>
      </x:c>
    </x:row>
    <x:row r="5">
      <x:c r="A5" s="16" t="str">
        <x:v>Pipe diameter</x:v>
      </x:c>
      <x:c r="B5" s="19" t="n">
        <x:f>'Inputs'!B7</x:f>
        <x:v>150</x:v>
      </x:c>
      <x:c r="C5" s="19"/>
      <x:c r="D5" s="16" t="str">
        <x:v>m</x:v>
      </x:c>
    </x:row>
    <x:row r="6">
      <x:c r="A6" s="16" t="str">
        <x:v>Cross-sectional area</x:v>
      </x:c>
      <x:c r="B6" s="19"/>
      <x:c r="C6" s="19"/>
      <x:c r="D6" s="16" t="str">
        <x:v>m²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8" hidden="0" customWidth="1"/>
    <x:col min="3" max="3" width="14" hidden="0" customWidth="1"/>
    <x:col min="4" max="4" width="38" hidden="0" customWidth="1"/>
  </x:cols>
  <x:sheetData>
    <x:row r="1" ht="26" customHeight="1">
      <x:c r="A1" s="14" t="str">
        <x:v>Hydraulic Calculations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10" t="str">
        <x:v>Calculation</x:v>
      </x:c>
      <x:c r="B3" s="10" t="str">
        <x:v>Value</x:v>
      </x:c>
      <x:c r="C3" s="10" t="str">
        <x:v>Unit</x:v>
      </x:c>
      <x:c r="D3" s="10" t="str">
        <x:v>Formula logic</x:v>
      </x:c>
    </x:row>
    <x:row r="4">
      <x:c r="A4" s="16" t="str">
        <x:v>Fluid velocity</x:v>
      </x:c>
      <x:c r="B4" s="21"/>
      <x:c r="C4" s="16" t="str">
        <x:v>m/s</x:v>
      </x:c>
      <x:c r="D4" s="16" t="str">
        <x:v>Q / area</x:v>
      </x:c>
    </x:row>
    <x:row r="5">
      <x:c r="A5" s="16" t="str">
        <x:v>Velocity head</x:v>
      </x:c>
      <x:c r="B5" s="21"/>
      <x:c r="C5" s="16" t="str">
        <x:v>m</x:v>
      </x:c>
      <x:c r="D5" s="16" t="str">
        <x:v>v² / 2g</x:v>
      </x:c>
    </x:row>
    <x:row r="6">
      <x:c r="A6" s="16" t="str">
        <x:v>Friction head</x:v>
      </x:c>
      <x:c r="B6" s="21"/>
      <x:c r="C6" s="16" t="str">
        <x:v>m</x:v>
      </x:c>
      <x:c r="D6" s="16" t="str">
        <x:v>f × L/D × velocity head</x:v>
      </x:c>
    </x:row>
    <x:row r="7">
      <x:c r="A7" s="16" t="str">
        <x:v>Total dynamic head</x:v>
      </x:c>
      <x:c r="B7" s="21"/>
      <x:c r="C7" s="16" t="str">
        <x:v>m</x:v>
      </x:c>
      <x:c r="D7" s="16" t="str">
        <x:v>(static + friction) × safety</x:v>
      </x:c>
    </x:row>
    <x:row r="8">
      <x:c r="A8" s="16" t="str">
        <x:v>Hydraulic power</x:v>
      </x:c>
      <x:c r="B8" s="21"/>
      <x:c r="C8" s="16" t="str">
        <x:v>kW</x:v>
      </x:c>
      <x:c r="D8" s="16" t="str">
        <x:v>ρgQH / 1000</x:v>
      </x:c>
    </x:row>
    <x:row r="9">
      <x:c r="A9" s="16" t="str">
        <x:v>Required shaft power</x:v>
      </x:c>
      <x:c r="B9" s="21"/>
      <x:c r="C9" s="16" t="str">
        <x:v>kW</x:v>
      </x:c>
      <x:c r="D9" s="16" t="str">
        <x:v>hydraulic power / efficiency</x:v>
      </x:c>
    </x:row>
    <x:row r="10">
      <x:c r="A10" s="16" t="str">
        <x:v>Minimum required flow</x:v>
      </x:c>
      <x:c r="B10" s="21"/>
      <x:c r="C10" s="16" t="str">
        <x:v>L/s</x:v>
      </x:c>
      <x:c r="D10" s="16" t="str">
        <x:v>design flow × safety</x:v>
      </x:c>
    </x:row>
    <x:row r="11">
      <x:c r="A11" s="16" t="str">
        <x:v>Minimum motor rating</x:v>
      </x:c>
      <x:c r="B11" s="21"/>
      <x:c r="C11" s="16" t="str">
        <x:v>kW</x:v>
      </x:c>
      <x:c r="D11" s="16" t="str">
        <x:v>shaft power × safety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7" hidden="0" customWidth="1"/>
    <x:col min="3" max="3" width="17" hidden="0" customWidth="1"/>
    <x:col min="4" max="4" width="16" hidden="0" customWidth="1"/>
    <x:col min="5" max="5" width="16" hidden="0" customWidth="1"/>
    <x:col min="6" max="6" width="42" hidden="0" customWidth="1"/>
  </x:cols>
  <x:sheetData>
    <x:row r="1" ht="26" customHeight="1">
      <x:c r="A1" s="14" t="str">
        <x:v>Pump Catalog and Eligibility</x:v>
      </x:c>
      <x:c r="B1" s="14"/>
      <x:c r="C1" s="14"/>
      <x:c r="D1" s="14"/>
      <x:c r="E1" s="14"/>
      <x:c r="F1" s="14"/>
    </x:row>
    <x:row r="2">
      <x:c r="A2" s="15"/>
      <x:c r="B2" s="15"/>
      <x:c r="C2" s="15"/>
      <x:c r="D2" s="15"/>
      <x:c r="E2" s="15"/>
      <x:c r="F2" s="15"/>
    </x:row>
    <x:row r="3">
      <x:c r="A3" s="10" t="str">
        <x:v>Pump</x:v>
      </x:c>
      <x:c r="B3" s="10" t="str">
        <x:v>Max flow (L/s)</x:v>
      </x:c>
      <x:c r="C3" s="10" t="str">
        <x:v>Max head (m)</x:v>
      </x:c>
      <x:c r="D3" s="10" t="str">
        <x:v>Motor (kW)</x:v>
      </x:c>
      <x:c r="E3" s="10" t="str">
        <x:v>Eligibility</x:v>
      </x:c>
      <x:c r="F3" s="10" t="str">
        <x:v>Reason</x:v>
      </x:c>
    </x:row>
    <x:row r="4">
      <x:c r="A4" s="16" t="str">
        <x:v>P-120</x:v>
      </x:c>
      <x:c r="B4" s="21" t="n">
        <x:v>45</x:v>
      </x:c>
      <x:c r="C4" s="21" t="n">
        <x:v>25</x:v>
      </x:c>
      <x:c r="D4" s="21" t="n">
        <x:v>11</x:v>
      </x:c>
      <x:c r="E4" s="16"/>
      <x:c r="F4" s="16"/>
    </x:row>
    <x:row r="5">
      <x:c r="A5" s="16" t="str">
        <x:v>P-180</x:v>
      </x:c>
      <x:c r="B5" s="21" t="n">
        <x:v>58</x:v>
      </x:c>
      <x:c r="C5" s="21" t="n">
        <x:v>36</x:v>
      </x:c>
      <x:c r="D5" s="21" t="n">
        <x:v>18.5</x:v>
      </x:c>
      <x:c r="E5" s="16"/>
      <x:c r="F5" s="16"/>
    </x:row>
    <x:row r="6">
      <x:c r="A6" s="16" t="str">
        <x:v>P-250</x:v>
      </x:c>
      <x:c r="B6" s="21" t="n">
        <x:v>80</x:v>
      </x:c>
      <x:c r="C6" s="21" t="n">
        <x:v>48</x:v>
      </x:c>
      <x:c r="D6" s="21" t="n">
        <x:v>30</x:v>
      </x:c>
      <x:c r="E6" s="16"/>
      <x:c r="F6" s="16"/>
    </x:row>
    <x:row r="7">
      <x:c r="A7" s="16" t="str">
        <x:v>Selected pump</x:v>
      </x:c>
      <x:c r="B7" s="16"/>
      <x:c r="C7" s="16"/>
      <x:c r="D7" s="16"/>
      <x:c r="E7" s="16"/>
      <x:c r="F7" s="16"/>
    </x:row>
    <x:row r="8">
      <x:c r="A8" s="16" t="str">
        <x:v>Selection check</x:v>
      </x:c>
      <x:c r="B8" s="16"/>
      <x:c r="C8" s="16"/>
      <x:c r="D8" s="16"/>
      <x:c r="E8" s="16"/>
      <x:c r="F8" s="16"/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5" hidden="0" customWidth="1"/>
    <x:col min="5" max="5" width="40" hidden="0" customWidth="1"/>
  </x:cols>
  <x:sheetData>
    <x:row r="1" ht="26" customHeight="1">
      <x:c r="A1" s="14" t="str">
        <x:v>Sizing Checks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10" t="str">
        <x:v>Check</x:v>
      </x:c>
      <x:c r="B3" s="10" t="str">
        <x:v>Actual</x:v>
      </x:c>
      <x:c r="C3" s="10" t="str">
        <x:v>Expected</x:v>
      </x:c>
      <x:c r="D3" s="10" t="str">
        <x:v>Status</x:v>
      </x:c>
      <x:c r="E3" s="10" t="str">
        <x:v>Notes</x:v>
      </x:c>
    </x:row>
    <x:row r="4">
      <x:c r="A4" s="16" t="str">
        <x:v>Conversion: L/s to m³/s</x:v>
      </x:c>
      <x:c r="B4" s="16" t="n">
        <x:f>'Unit_Conversions'!C4</x:f>
        <x:v>0</x:v>
      </x:c>
      <x:c r="C4" s="16" t="n">
        <x:v>0.042</x:v>
      </x:c>
      <x:c r="D4" s="16" t="str">
        <x:f>IF(ABS(B4-C4)&lt;0.0001,"PASS","CHECK")</x:f>
        <x:v>CHECK</x:v>
      </x:c>
      <x:c r="E4" s="16" t="str">
        <x:v>Design flow / 1000</x:v>
      </x:c>
    </x:row>
    <x:row r="5">
      <x:c r="A5" s="16" t="str">
        <x:v>Head safety factor applied</x:v>
      </x:c>
      <x:c r="B5" s="16" t="n">
        <x:f>'Calculations'!B7-('Inputs'!B5+'Calculations'!B6)</x:f>
        <x:v>-18</x:v>
      </x:c>
      <x:c r="C5" s="16"/>
      <x:c r="D5" s="16" t="str">
        <x:f>IF(B5&gt;0,"PASS","CHECK")</x:f>
        <x:v>CHECK</x:v>
      </x:c>
      <x:c r="E5" s="16" t="str">
        <x:v>TDH must exceed static + friction</x:v>
      </x:c>
    </x:row>
    <x:row r="6">
      <x:c r="A6" s="16" t="str">
        <x:v>Selected pump eligible</x:v>
      </x:c>
      <x:c r="B6" s="16" t="n">
        <x:f>'Equipment_Selection'!B8</x:f>
        <x:v>0</x:v>
      </x:c>
      <x:c r="C6" s="16" t="str">
        <x:v>PASS</x:v>
      </x:c>
      <x:c r="D6" s="16" t="str">
        <x:f>IF(B6=C6,"PASS","CHECK")</x:f>
        <x:v>CHECK</x:v>
      </x:c>
      <x:c r="E6" s="16" t="str">
        <x:v>Catalog constraints</x:v>
      </x:c>
    </x:row>
    <x:row r="7">
      <x:c r="A7" s="16" t="str">
        <x:v>Units preserved</x:v>
      </x:c>
      <x:c r="B7" s="16"/>
      <x:c r="C7" s="16"/>
      <x:c r="D7" s="16"/>
      <x:c r="E7" s="16" t="str">
        <x:v>No input unit edits</x:v>
      </x:c>
    </x:row>
  </x:sheetData>
  <x:mergeCells>
    <x:mergeCell ref="A1:E1"/>
  </x:mergeCells>
  <x:pageMargins left="0.7" right="0.7" top="0.75" bottom="0.75" header="0.3" footer="0.3"/>
</x:worksheet>
</file>