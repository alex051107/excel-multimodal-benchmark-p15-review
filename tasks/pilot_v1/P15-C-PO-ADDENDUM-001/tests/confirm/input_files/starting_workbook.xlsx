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42fcfad84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bf892f4520fc4947"/>
    <x:sheet xmlns:r="http://schemas.openxmlformats.org/officeDocument/2006/relationships" name="Base_Schedule" sheetId="2" r:id="R86c9e47cb32b41ce"/>
    <x:sheet xmlns:r="http://schemas.openxmlformats.org/officeDocument/2006/relationships" name="Revised_Schedule" sheetId="3" r:id="Rebb4748f82aa458f"/>
    <x:sheet xmlns:r="http://schemas.openxmlformats.org/officeDocument/2006/relationships" name="Revision_Log" sheetId="4" r:id="R67587a83898d485d"/>
    <x:sheet xmlns:r="http://schemas.openxmlformats.org/officeDocument/2006/relationships" name="Provenance" sheetId="5" r:id="R3575a432c3634075"/>
    <x:sheet xmlns:r="http://schemas.openxmlformats.org/officeDocument/2006/relationships" name="Checks" sheetId="6" r:id="R6bfd35098588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40e7e62434faf" /><Relationship Type="http://schemas.openxmlformats.org/officeDocument/2006/relationships/theme" Target="/xl/theme/theme1.xml" Id="Rde562ce8c11f47cc" /><Relationship Type="http://schemas.openxmlformats.org/officeDocument/2006/relationships/sharedStrings" Target="/xl/sharedStrings.xml" Id="R53ee5f8ec0a54cd7" /><Relationship Type="http://schemas.openxmlformats.org/officeDocument/2006/relationships/worksheet" Target="/xl/worksheets/sheet1.xml" Id="Rbf892f4520fc4947" /><Relationship Type="http://schemas.openxmlformats.org/officeDocument/2006/relationships/worksheet" Target="/xl/worksheets/sheet2.xml" Id="R86c9e47cb32b41ce" /><Relationship Type="http://schemas.openxmlformats.org/officeDocument/2006/relationships/worksheet" Target="/xl/worksheets/sheet3.xml" Id="Rebb4748f82aa458f" /><Relationship Type="http://schemas.openxmlformats.org/officeDocument/2006/relationships/worksheet" Target="/xl/worksheets/sheet4.xml" Id="R67587a83898d485d" /><Relationship Type="http://schemas.openxmlformats.org/officeDocument/2006/relationships/worksheet" Target="/xl/worksheets/sheet5.xml" Id="R3575a432c3634075" /><Relationship Type="http://schemas.openxmlformats.org/officeDocument/2006/relationships/worksheet" Target="/xl/worksheets/sheet6.xml" Id="R6bfd35098588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PO-8820</x:v>
      </x:c>
      <x:c r="C4" s="15"/>
    </x:row>
    <x:row r="5">
      <x:c r="A5" s="12" t="str">
        <x:v>Addendum</x:v>
      </x:c>
      <x:c r="B5" s="12" t="str">
        <x:v>03</x:v>
      </x:c>
      <x:c r="C5" s="15"/>
    </x:row>
    <x:row r="6">
      <x:c r="A6" s="12" t="str">
        <x:v>Effective deadline</x:v>
      </x:c>
      <x:c r="B6" s="12" t="str">
        <x:v>2026-07-29</x:v>
      </x:c>
      <x:c r="C6" s="15"/>
    </x:row>
    <x:row r="7">
      <x:c r="A7" s="12" t="str">
        <x:v>Revision reason</x:v>
      </x:c>
      <x:c r="B7" s="12" t="str">
        <x:v>mechanical routing revision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/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PO-11</x:v>
      </x:c>
      <x:c r="B4" s="12" t="str">
        <x:v>Pump skids</x:v>
      </x:c>
      <x:c r="C4" s="12" t="n">
        <x:v>12</x:v>
      </x:c>
      <x:c r="D4" s="13" t="n">
        <x:v>310</x:v>
      </x:c>
      <x:c r="E4" s="13" t="str">
        <x:v>each</x:v>
      </x:c>
      <x:c r="F4" s="13" t="n">
        <x:f>C4*D4</x:f>
        <x:v>3720</x:v>
      </x:c>
      <x:c r="G4" s="12" t="str">
        <x:v>No</x:v>
      </x:c>
    </x:row>
    <x:row r="5">
      <x:c r="A5" s="12" t="str">
        <x:v>PO-13</x:v>
      </x:c>
      <x:c r="B5" s="12" t="str">
        <x:v>Conduit bundles</x:v>
      </x:c>
      <x:c r="C5" s="12" t="n">
        <x:v>40</x:v>
      </x:c>
      <x:c r="D5" s="13" t="n">
        <x:v>48</x:v>
      </x:c>
      <x:c r="E5" s="13" t="str">
        <x:v>USD per unit</x:v>
      </x:c>
      <x:c r="F5" s="13" t="n">
        <x:f>C5*D5</x:f>
        <x:v>1920</x:v>
      </x:c>
      <x:c r="G5" s="12" t="str">
        <x:v>No</x:v>
      </x:c>
    </x:row>
    <x:row r="6">
      <x:c r="A6" s="12" t="str">
        <x:v>PO-14</x:v>
      </x:c>
      <x:c r="B6" s="12" t="str">
        <x:v>Safety barriers</x:v>
      </x:c>
      <x:c r="C6" s="12" t="n">
        <x:v>6</x:v>
      </x:c>
      <x:c r="D6" s="13" t="n">
        <x:v>75</x:v>
      </x:c>
      <x:c r="E6" s="13" t="str">
        <x:v>each</x:v>
      </x:c>
      <x:c r="F6" s="13" t="n">
        <x:f>C6*D6</x:f>
        <x:v>450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/>
      <x:c r="B4" s="12"/>
      <x:c r="C4" s="12"/>
      <x:c r="D4" s="13"/>
      <x:c r="E4" s="13"/>
      <x:c r="F4" s="13"/>
      <x:c r="G4" s="12"/>
    </x:row>
    <x:row r="5">
      <x:c r="A5" s="12"/>
      <x:c r="B5" s="12"/>
      <x:c r="C5" s="12"/>
      <x:c r="D5" s="13"/>
      <x:c r="E5" s="13"/>
      <x:c r="F5" s="13"/>
      <x:c r="G5" s="12"/>
    </x:row>
    <x:row r="6">
      <x:c r="A6" s="12"/>
      <x:c r="B6" s="12"/>
      <x:c r="C6" s="12"/>
      <x:c r="D6" s="13"/>
      <x:c r="E6" s="13"/>
      <x:c r="F6" s="13"/>
      <x:c r="G6" s="12"/>
    </x:row>
    <x:row r="7">
      <x:c r="A7" s="12"/>
      <x:c r="B7" s="12"/>
      <x:c r="C7" s="12"/>
      <x:c r="D7" s="13"/>
      <x:c r="E7" s="13"/>
      <x:c r="F7" s="13"/>
      <x:c r="G7" s="12"/>
    </x:row>
    <x:row r="8">
      <x:c r="A8" s="12"/>
      <x:c r="B8" s="12"/>
      <x:c r="C8" s="12"/>
      <x:c r="D8" s="13"/>
      <x:c r="E8" s="13"/>
      <x:c r="F8" s="13"/>
      <x:c r="G8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/>
      <x:c r="C4" s="12"/>
      <x:c r="D4" s="12" t="str">
        <x:v>All addendum changes applied</x:v>
      </x:c>
    </x:row>
    <x:row r="5">
      <x:c r="A5" s="12" t="str">
        <x:v>Protected base line</x:v>
      </x:c>
      <x:c r="B5" s="12"/>
      <x:c r="C5" s="12"/>
      <x:c r="D5" s="12" t="str">
        <x:v>PO-04 remains unchanged</x:v>
      </x:c>
    </x:row>
    <x:row r="6">
      <x:c r="A6" s="12" t="str">
        <x:v>Revised schedule total</x:v>
      </x:c>
      <x:c r="B6" s="13"/>
      <x:c r="C6" s="13"/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