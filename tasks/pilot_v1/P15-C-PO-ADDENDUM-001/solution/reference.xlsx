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899811adb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aea4428dfce54277"/>
    <x:sheet xmlns:r="http://schemas.openxmlformats.org/officeDocument/2006/relationships" name="Base_Schedule" sheetId="2" r:id="Rf69638e6900f4244"/>
    <x:sheet xmlns:r="http://schemas.openxmlformats.org/officeDocument/2006/relationships" name="Revised_Schedule" sheetId="3" r:id="R37cb092f2dbd49b7"/>
    <x:sheet xmlns:r="http://schemas.openxmlformats.org/officeDocument/2006/relationships" name="Revision_Log" sheetId="4" r:id="R69f749c5592b41d6"/>
    <x:sheet xmlns:r="http://schemas.openxmlformats.org/officeDocument/2006/relationships" name="Provenance" sheetId="5" r:id="R155bce59a22142b8"/>
    <x:sheet xmlns:r="http://schemas.openxmlformats.org/officeDocument/2006/relationships" name="Checks" sheetId="6" r:id="R2ef577394afe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7556b7b53427f" /><Relationship Type="http://schemas.openxmlformats.org/officeDocument/2006/relationships/theme" Target="/xl/theme/theme1.xml" Id="Rf17927a4757c47a5" /><Relationship Type="http://schemas.openxmlformats.org/officeDocument/2006/relationships/sharedStrings" Target="/xl/sharedStrings.xml" Id="R3f19240e6e1f40c6" /><Relationship Type="http://schemas.openxmlformats.org/officeDocument/2006/relationships/worksheet" Target="/xl/worksheets/sheet1.xml" Id="Raea4428dfce54277" /><Relationship Type="http://schemas.openxmlformats.org/officeDocument/2006/relationships/worksheet" Target="/xl/worksheets/sheet2.xml" Id="Rf69638e6900f4244" /><Relationship Type="http://schemas.openxmlformats.org/officeDocument/2006/relationships/worksheet" Target="/xl/worksheets/sheet3.xml" Id="R37cb092f2dbd49b7" /><Relationship Type="http://schemas.openxmlformats.org/officeDocument/2006/relationships/worksheet" Target="/xl/worksheets/sheet4.xml" Id="R69f749c5592b41d6" /><Relationship Type="http://schemas.openxmlformats.org/officeDocument/2006/relationships/worksheet" Target="/xl/worksheets/sheet5.xml" Id="R155bce59a22142b8" /><Relationship Type="http://schemas.openxmlformats.org/officeDocument/2006/relationships/worksheet" Target="/xl/worksheets/sheet6.xml" Id="R2ef577394afe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PO-7194</x:v>
      </x:c>
      <x:c r="C4" s="15"/>
    </x:row>
    <x:row r="5">
      <x:c r="A5" s="12" t="str">
        <x:v>Addendum</x:v>
      </x:c>
      <x:c r="B5" s="12" t="str">
        <x:v>02</x:v>
      </x:c>
      <x:c r="C5" s="15"/>
    </x:row>
    <x:row r="6">
      <x:c r="A6" s="12" t="str">
        <x:v>Effective deadline</x:v>
      </x:c>
      <x:c r="B6" s="12" t="str">
        <x:v>2026-07-02</x:v>
      </x:c>
      <x:c r="C6" s="15"/>
    </x:row>
    <x:row r="7">
      <x:c r="A7" s="12" t="str">
        <x:v>Revision reason</x:v>
      </x:c>
      <x:c r="B7" s="12" t="str">
        <x:v>site layout update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 t="n">
        <x:f>'Revised_Schedule'!F8</x:f>
        <x:v>6260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PO-01</x:v>
      </x:c>
      <x:c r="B4" s="12" t="str">
        <x:v>Valve kits</x:v>
      </x:c>
      <x:c r="C4" s="12" t="n">
        <x:v>20</x:v>
      </x:c>
      <x:c r="D4" s="13" t="n">
        <x:v>120</x:v>
      </x:c>
      <x:c r="E4" s="13" t="str">
        <x:v>each</x:v>
      </x:c>
      <x:c r="F4" s="13" t="n">
        <x:f>C4*D4</x:f>
        <x:v>2400</x:v>
      </x:c>
      <x:c r="G4" s="12" t="str">
        <x:v>No</x:v>
      </x:c>
    </x:row>
    <x:row r="5">
      <x:c r="A5" s="12" t="str">
        <x:v>PO-03</x:v>
      </x:c>
      <x:c r="B5" s="12" t="str">
        <x:v>Cable trays</x:v>
      </x:c>
      <x:c r="C5" s="12" t="n">
        <x:v>56</x:v>
      </x:c>
      <x:c r="D5" s="13" t="n">
        <x:v>56</x:v>
      </x:c>
      <x:c r="E5" s="13" t="str">
        <x:v>USD per unit</x:v>
      </x:c>
      <x:c r="F5" s="13" t="n">
        <x:f>C5*D5</x:f>
        <x:v>3136</x:v>
      </x:c>
      <x:c r="G5" s="12" t="str">
        <x:v>No</x:v>
      </x:c>
    </x:row>
    <x:row r="6">
      <x:c r="A6" s="12" t="str">
        <x:v>PO-04</x:v>
      </x:c>
      <x:c r="B6" s="12" t="str">
        <x:v>Site safety signage</x:v>
      </x:c>
      <x:c r="C6" s="12" t="n">
        <x:v>4</x:v>
      </x:c>
      <x:c r="D6" s="13" t="n">
        <x:v>16</x:v>
      </x:c>
      <x:c r="E6" s="13" t="str">
        <x:v>each</x:v>
      </x:c>
      <x:c r="F6" s="13" t="n">
        <x:f>C6*D6</x:f>
        <x:v>64</x:v>
      </x:c>
      <x:c r="G6" s="12" t="str">
        <x:v>Yes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 t="str">
        <x:v>PO-01</x:v>
      </x:c>
      <x:c r="B4" s="12" t="str">
        <x:v>Valve kits</x:v>
      </x:c>
      <x:c r="C4" s="12" t="n">
        <x:v>22</x:v>
      </x:c>
      <x:c r="D4" s="13" t="n">
        <x:v>120</x:v>
      </x:c>
      <x:c r="E4" s="13" t="str">
        <x:v>each</x:v>
      </x:c>
      <x:c r="F4" s="13" t="n">
        <x:f>C4*D4</x:f>
        <x:v>2640</x:v>
      </x:c>
      <x:c r="G4" s="12" t="str">
        <x:v>quantity changed</x:v>
      </x:c>
    </x:row>
    <x:row r="5">
      <x:c r="A5" s="12" t="str">
        <x:v>PO-02</x:v>
      </x:c>
      <x:c r="B5" s="12" t="str">
        <x:v>Commissioning</x:v>
      </x:c>
      <x:c r="C5" s="12" t="n">
        <x:v>1</x:v>
      </x:c>
      <x:c r="D5" s="13" t="n">
        <x:v>140</x:v>
      </x:c>
      <x:c r="E5" s="13" t="str">
        <x:v>visit</x:v>
      </x:c>
      <x:c r="F5" s="13" t="n">
        <x:f>C5*D5</x:f>
        <x:v>140</x:v>
      </x:c>
      <x:c r="G5" s="12" t="str">
        <x:v>inserted</x:v>
      </x:c>
    </x:row>
    <x:row r="6">
      <x:c r="A6" s="12" t="str">
        <x:v>PO-03</x:v>
      </x:c>
      <x:c r="B6" s="12" t="str">
        <x:v>Cable trays</x:v>
      </x:c>
      <x:c r="C6" s="12" t="n">
        <x:v>56</x:v>
      </x:c>
      <x:c r="D6" s="13" t="n">
        <x:v>61</x:v>
      </x:c>
      <x:c r="E6" s="13" t="str">
        <x:v>USD per unit</x:v>
      </x:c>
      <x:c r="F6" s="13" t="n">
        <x:f>C6*D6</x:f>
        <x:v>3416</x:v>
      </x:c>
      <x:c r="G6" s="12" t="str">
        <x:v>unit price changed</x:v>
      </x:c>
    </x:row>
    <x:row r="7">
      <x:c r="A7" s="12" t="str">
        <x:v>PO-04</x:v>
      </x:c>
      <x:c r="B7" s="12" t="str">
        <x:v>Site safety signage</x:v>
      </x:c>
      <x:c r="C7" s="12" t="n">
        <x:v>4</x:v>
      </x:c>
      <x:c r="D7" s="13" t="n">
        <x:v>16</x:v>
      </x:c>
      <x:c r="E7" s="13" t="str">
        <x:v>each</x:v>
      </x:c>
      <x:c r="F7" s="13" t="n">
        <x:f>C7*D7</x:f>
        <x:v>64</x:v>
      </x:c>
      <x:c r="G7" s="12" t="str">
        <x:v>unchanged</x:v>
      </x:c>
    </x:row>
    <x:row r="8">
      <x:c r="A8" s="12" t="str"/>
      <x:c r="B8" s="12" t="str">
        <x:v>Revised schedule total</x:v>
      </x:c>
      <x:c r="C8" s="12" t="str"/>
      <x:c r="D8" s="13" t="str"/>
      <x:c r="E8" s="13" t="str"/>
      <x:c r="F8" s="13" t="n">
        <x:f>SUM(F4:F7)</x:f>
        <x:v>6260</x:v>
      </x:c>
      <x:c r="G8" s="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 t="str">
        <x:v>PO-01</x:v>
      </x:c>
      <x:c r="B4" s="12" t="str">
        <x:v>quantity changed</x:v>
      </x:c>
      <x:c r="C4" s="12" t="str">
        <x:v>20 each</x:v>
      </x:c>
      <x:c r="D4" s="12" t="str">
        <x:v>22 each</x:v>
      </x:c>
      <x:c r="E4" s="12" t="n">
        <x:v>1</x:v>
      </x:c>
    </x:row>
    <x:row r="5">
      <x:c r="A5" s="12" t="str">
        <x:v>PO-02</x:v>
      </x:c>
      <x:c r="B5" s="12" t="str">
        <x:v>inserted</x:v>
      </x:c>
      <x:c r="C5" s="12" t="str">
        <x:v>Not in base schedule</x:v>
      </x:c>
      <x:c r="D5" s="12" t="str">
        <x:v>$140.00 / visit</x:v>
      </x:c>
      <x:c r="E5" s="12" t="n">
        <x:v>1</x:v>
      </x:c>
    </x:row>
    <x:row r="6">
      <x:c r="A6" s="12" t="str">
        <x:v>PO-03</x:v>
      </x:c>
      <x:c r="B6" s="12" t="str">
        <x:v>unit price changed</x:v>
      </x:c>
      <x:c r="C6" s="12" t="str">
        <x:v>$56.00 / unit</x:v>
      </x:c>
      <x:c r="D6" s="12" t="str">
        <x:v>$61.00 / unit</x:v>
      </x:c>
      <x:c r="E6" s="12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PO-01</x:v>
      </x:c>
      <x:c r="B4" s="12" t="str">
        <x:v>po_addendum.pdf</x:v>
      </x:c>
      <x:c r="C4" s="12" t="n">
        <x:v>1</x:v>
      </x:c>
      <x:c r="D4" s="12" t="str">
        <x:v>po_addendum.pdf:p1:valve-kits</x:v>
      </x:c>
      <x:c r="E4" s="12" t="str">
        <x:v>Revised_Schedule!4</x:v>
      </x:c>
    </x:row>
    <x:row r="5">
      <x:c r="A5" s="12" t="str">
        <x:v>PO-02</x:v>
      </x:c>
      <x:c r="B5" s="12" t="str">
        <x:v>po_addendum.pdf</x:v>
      </x:c>
      <x:c r="C5" s="12" t="n">
        <x:v>1</x:v>
      </x:c>
      <x:c r="D5" s="12" t="str">
        <x:v>po_addendum.pdf:p1:commissioning</x:v>
      </x:c>
      <x:c r="E5" s="12" t="str">
        <x:v>Revised_Schedule!5</x:v>
      </x:c>
    </x:row>
    <x:row r="6">
      <x:c r="A6" s="12" t="str">
        <x:v>PO-03</x:v>
      </x:c>
      <x:c r="B6" s="12" t="str">
        <x:v>po_addendum.pdf</x:v>
      </x:c>
      <x:c r="C6" s="12" t="n">
        <x:v>1</x:v>
      </x:c>
      <x:c r="D6" s="12" t="str">
        <x:v>po_addendum.pdf:p1:cable-trays</x:v>
      </x:c>
      <x:c r="E6" s="12" t="str">
        <x:v>Revised_Schedule!6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 t="n">
        <x:f>1+1+1</x:f>
        <x:v>3</x:v>
      </x:c>
      <x:c r="C4" s="12" t="n">
        <x:v>3</x:v>
      </x:c>
      <x:c r="D4" s="12" t="str">
        <x:v>All addendum changes applied</x:v>
      </x:c>
    </x:row>
    <x:row r="5">
      <x:c r="A5" s="12" t="str">
        <x:v>Protected base line</x:v>
      </x:c>
      <x:c r="B5" s="12" t="str">
        <x:f>IF('Revised_Schedule'!C7=4,"PASS","CHECK")</x:f>
        <x:v>PASS</x:v>
      </x:c>
      <x:c r="C5" s="12" t="str">
        <x:v>PASS</x:v>
      </x:c>
      <x:c r="D5" s="12" t="str">
        <x:v>PO-04 remains unchanged</x:v>
      </x:c>
    </x:row>
    <x:row r="6">
      <x:c r="A6" s="12" t="str">
        <x:v>Revised schedule total</x:v>
      </x:c>
      <x:c r="B6" s="13" t="n">
        <x:f>'Revised_Schedule'!F8</x:f>
        <x:v>6260</x:v>
      </x:c>
      <x:c r="C6" s="13" t="n">
        <x:v>6260</x:v>
      </x:c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