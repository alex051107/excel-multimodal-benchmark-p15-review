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ff75e7f9b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1897bce2de744738"/>
    <x:sheet xmlns:r="http://schemas.openxmlformats.org/officeDocument/2006/relationships" name="Base_Schedule" sheetId="2" r:id="R3e8a017d5656455a"/>
    <x:sheet xmlns:r="http://schemas.openxmlformats.org/officeDocument/2006/relationships" name="Revised_Schedule" sheetId="3" r:id="R4dc4abcbb4f74600"/>
    <x:sheet xmlns:r="http://schemas.openxmlformats.org/officeDocument/2006/relationships" name="Revision_Log" sheetId="4" r:id="R5656e03f575b45bd"/>
    <x:sheet xmlns:r="http://schemas.openxmlformats.org/officeDocument/2006/relationships" name="Provenance" sheetId="5" r:id="R36da669af4464fba"/>
    <x:sheet xmlns:r="http://schemas.openxmlformats.org/officeDocument/2006/relationships" name="Checks" sheetId="6" r:id="R60917277bf8d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25c8978e6406a" /><Relationship Type="http://schemas.openxmlformats.org/officeDocument/2006/relationships/theme" Target="/xl/theme/theme1.xml" Id="R794c8354cc504c7f" /><Relationship Type="http://schemas.openxmlformats.org/officeDocument/2006/relationships/sharedStrings" Target="/xl/sharedStrings.xml" Id="Re600ce735fd34cf9" /><Relationship Type="http://schemas.openxmlformats.org/officeDocument/2006/relationships/worksheet" Target="/xl/worksheets/sheet1.xml" Id="R1897bce2de744738" /><Relationship Type="http://schemas.openxmlformats.org/officeDocument/2006/relationships/worksheet" Target="/xl/worksheets/sheet2.xml" Id="R3e8a017d5656455a" /><Relationship Type="http://schemas.openxmlformats.org/officeDocument/2006/relationships/worksheet" Target="/xl/worksheets/sheet3.xml" Id="R4dc4abcbb4f74600" /><Relationship Type="http://schemas.openxmlformats.org/officeDocument/2006/relationships/worksheet" Target="/xl/worksheets/sheet4.xml" Id="R5656e03f575b45bd" /><Relationship Type="http://schemas.openxmlformats.org/officeDocument/2006/relationships/worksheet" Target="/xl/worksheets/sheet5.xml" Id="R36da669af4464fba" /><Relationship Type="http://schemas.openxmlformats.org/officeDocument/2006/relationships/worksheet" Target="/xl/worksheets/sheet6.xml" Id="R60917277bf8d45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6120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PO-01</x:v>
      </x:c>
      <x:c r="B4" s="12" t="str">
        <x:v>Valve kits</x:v>
      </x:c>
      <x:c r="C4" s="12" t="n">
        <x:v>22</x:v>
      </x:c>
      <x:c r="D4" s="13" t="n">
        <x:v>120</x:v>
      </x:c>
      <x:c r="E4" s="13" t="str">
        <x:v>each</x:v>
      </x:c>
      <x:c r="F4" s="13" t="n">
        <x:f>C4*D4</x:f>
        <x:v>2640</x:v>
      </x:c>
      <x:c r="G4" s="12" t="str">
        <x:v>quantity changed</x:v>
      </x:c>
    </x:row>
    <x:row r="5">
      <x:c r="A5" s="12"/>
      <x:c r="B5" s="12"/>
      <x:c r="C5" s="12"/>
      <x:c r="D5" s="13"/>
      <x:c r="E5" s="13"/>
      <x:c r="F5" s="13"/>
      <x:c r="G5" s="12"/>
    </x:row>
    <x:row r="6">
      <x:c r="A6" s="12" t="str">
        <x:v>PO-03</x:v>
      </x:c>
      <x:c r="B6" s="12" t="str">
        <x:v>Cable trays</x:v>
      </x:c>
      <x:c r="C6" s="12" t="n">
        <x:v>56</x:v>
      </x:c>
      <x:c r="D6" s="13" t="n">
        <x:v>61</x:v>
      </x:c>
      <x:c r="E6" s="13" t="str">
        <x:v>USD per unit</x:v>
      </x:c>
      <x:c r="F6" s="13" t="n">
        <x:f>C6*D6</x:f>
        <x:v>3416</x:v>
      </x:c>
      <x:c r="G6" s="12" t="str">
        <x:v>unit price changed</x:v>
      </x:c>
    </x:row>
    <x:row r="7">
      <x:c r="A7" s="12" t="str">
        <x:v>PO-04</x:v>
      </x:c>
      <x:c r="B7" s="12" t="str">
        <x:v>Site safety signage</x:v>
      </x:c>
      <x:c r="C7" s="12" t="n">
        <x:v>4</x:v>
      </x:c>
      <x:c r="D7" s="13" t="n">
        <x:v>16</x:v>
      </x:c>
      <x:c r="E7" s="13" t="str">
        <x:v>each</x:v>
      </x:c>
      <x:c r="F7" s="13" t="n">
        <x:f>C7*D7</x:f>
        <x:v>64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SUM(F4:F7)</x:f>
        <x:v>6120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PO-01</x:v>
      </x:c>
      <x:c r="B4" s="12" t="str">
        <x:v>quantity changed</x:v>
      </x:c>
      <x:c r="C4" s="12" t="str">
        <x:v>20 each</x:v>
      </x:c>
      <x:c r="D4" s="12" t="str">
        <x:v>22 each</x:v>
      </x:c>
      <x:c r="E4" s="12" t="n">
        <x:v>1</x:v>
      </x:c>
    </x:row>
    <x:row r="5">
      <x:c r="A5" s="12" t="str">
        <x:v>PO-02</x:v>
      </x:c>
      <x:c r="B5" s="12" t="str">
        <x:v>inserted</x:v>
      </x:c>
      <x:c r="C5" s="12" t="str">
        <x:v>Not in base schedule</x:v>
      </x:c>
      <x:c r="D5" s="12" t="str">
        <x:v>$140.00 / visit</x:v>
      </x:c>
      <x:c r="E5" s="12" t="n">
        <x:v>1</x:v>
      </x:c>
    </x:row>
    <x:row r="6">
      <x:c r="A6" s="12" t="str">
        <x:v>PO-03</x:v>
      </x:c>
      <x:c r="B6" s="12" t="str">
        <x:v>unit price changed</x:v>
      </x:c>
      <x:c r="C6" s="12" t="str">
        <x:v>$56.00 / unit</x:v>
      </x:c>
      <x:c r="D6" s="12" t="str">
        <x:v>$61.00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PO-01</x:v>
      </x:c>
      <x:c r="B4" s="12" t="str">
        <x:v>po_addendum.pdf</x:v>
      </x:c>
      <x:c r="C4" s="12" t="n">
        <x:v>1</x:v>
      </x:c>
      <x:c r="D4" s="12" t="str">
        <x:v>po_addendum.pdf:p1:valve-kits</x:v>
      </x:c>
      <x:c r="E4" s="12" t="str">
        <x:v>Revised_Schedule!4</x:v>
      </x:c>
    </x:row>
    <x:row r="5">
      <x:c r="A5" s="12" t="str">
        <x:v>PO-02</x:v>
      </x:c>
      <x:c r="B5" s="12" t="str">
        <x:v>po_addendum.pdf</x:v>
      </x:c>
      <x:c r="C5" s="12" t="n">
        <x:v>1</x:v>
      </x:c>
      <x:c r="D5" s="12" t="str">
        <x:v>po_addendum.pdf:p1:commissioning</x:v>
      </x:c>
      <x:c r="E5" s="12" t="str">
        <x:v>Revised_Schedule!5</x:v>
      </x:c>
    </x:row>
    <x:row r="6">
      <x:c r="A6" s="12" t="str">
        <x:v>PO-03</x:v>
      </x:c>
      <x:c r="B6" s="12" t="str">
        <x:v>po_addendum.pdf</x:v>
      </x:c>
      <x:c r="C6" s="12" t="n">
        <x:v>1</x:v>
      </x:c>
      <x:c r="D6" s="12" t="str">
        <x:v>po_addendum.pdf:p1:cable-trays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IF('Revised_Schedule'!C7=4,"PASS","CHECK")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6120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