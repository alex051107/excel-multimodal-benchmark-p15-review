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rder overview" sheetId="1" state="visible" r:id="rId1"/>
    <sheet xmlns:r="http://schemas.openxmlformats.org/officeDocument/2006/relationships" name="Original schedule" sheetId="2" state="visible" r:id="rId2"/>
    <sheet xmlns:r="http://schemas.openxmlformats.org/officeDocument/2006/relationships" name="Updated schedule" sheetId="3" state="visible" r:id="rId3"/>
    <sheet xmlns:r="http://schemas.openxmlformats.org/officeDocument/2006/relationships" name="Change register" sheetId="4" state="visible" r:id="rId4"/>
    <sheet xmlns:r="http://schemas.openxmlformats.org/officeDocument/2006/relationships" name="Source register" sheetId="5" state="visible" r:id="rId5"/>
    <sheet xmlns:r="http://schemas.openxmlformats.org/officeDocument/2006/relationships" name="Review notes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1F2937"/>
      <sz val="11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1" customWidth="1" min="3" max="3"/>
  </cols>
  <sheetData>
    <row r="1" ht="26" customHeight="1">
      <c r="A1" s="14" t="inlineStr">
        <is>
          <t>Purchase Order Revision Header</t>
        </is>
      </c>
    </row>
    <row r="2">
      <c r="A2" s="15" t="n"/>
      <c r="B2" s="15" t="n"/>
      <c r="C2" s="15" t="n"/>
    </row>
    <row r="3">
      <c r="A3" s="9" t="inlineStr">
        <is>
          <t>Field</t>
        </is>
      </c>
      <c r="B3" s="9" t="inlineStr">
        <is>
          <t>Value</t>
        </is>
      </c>
      <c r="C3" s="15" t="n"/>
    </row>
    <row r="4">
      <c r="A4" s="12" t="inlineStr">
        <is>
          <t>PO ID</t>
        </is>
      </c>
      <c r="B4" s="12" t="inlineStr">
        <is>
          <t>PO-7194</t>
        </is>
      </c>
      <c r="C4" s="15" t="n"/>
    </row>
    <row r="5">
      <c r="A5" s="12" t="inlineStr">
        <is>
          <t>Addendum</t>
        </is>
      </c>
      <c r="B5" s="12" t="inlineStr">
        <is>
          <t>02</t>
        </is>
      </c>
      <c r="C5" s="15" t="n"/>
    </row>
    <row r="6">
      <c r="A6" s="12" t="inlineStr">
        <is>
          <t>Effective deadline</t>
        </is>
      </c>
      <c r="B6" s="12" t="inlineStr">
        <is>
          <t>2026-07-02</t>
        </is>
      </c>
      <c r="C6" s="15" t="n"/>
    </row>
    <row r="7">
      <c r="A7" s="12" t="inlineStr">
        <is>
          <t>Revision reason</t>
        </is>
      </c>
      <c r="B7" s="12" t="inlineStr">
        <is>
          <t>site layout update</t>
        </is>
      </c>
      <c r="C7" s="15" t="n"/>
    </row>
    <row r="8">
      <c r="A8" s="12" t="inlineStr">
        <is>
          <t>Currency</t>
        </is>
      </c>
      <c r="B8" s="12" t="inlineStr">
        <is>
          <t>USD</t>
        </is>
      </c>
      <c r="C8" s="15" t="n"/>
    </row>
    <row r="9">
      <c r="A9" s="12" t="inlineStr">
        <is>
          <t>Revised schedule total</t>
        </is>
      </c>
      <c r="B9" s="16">
        <f>'Revised_Schedule'!F8</f>
        <v/>
      </c>
      <c r="C9" s="15" t="n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4" customWidth="1" min="3" max="3"/>
    <col width="17" customWidth="1" min="4" max="4"/>
    <col width="20" customWidth="1" min="5" max="5"/>
    <col width="20" customWidth="1" min="6" max="6"/>
    <col width="14" customWidth="1" min="7" max="7"/>
  </cols>
  <sheetData>
    <row r="1" ht="26" customHeight="1">
      <c r="A1" s="14" t="inlineStr">
        <is>
          <t>Protected Base Purchase Order Schedule</t>
        </is>
      </c>
    </row>
    <row r="2">
      <c r="A2" s="15" t="n"/>
      <c r="B2" s="15" t="n"/>
      <c r="C2" s="15" t="n"/>
      <c r="D2" s="15" t="n"/>
      <c r="E2" s="15" t="n"/>
      <c r="F2" s="15" t="n"/>
      <c r="G2" s="15" t="n"/>
    </row>
    <row r="3">
      <c r="A3" s="9" t="inlineStr">
        <is>
          <t>Line ID</t>
        </is>
      </c>
      <c r="B3" s="9" t="inlineStr">
        <is>
          <t>Description</t>
        </is>
      </c>
      <c r="C3" s="9" t="inlineStr">
        <is>
          <t>Quantity</t>
        </is>
      </c>
      <c r="D3" s="9" t="inlineStr">
        <is>
          <t>Unit price</t>
        </is>
      </c>
      <c r="E3" s="9" t="inlineStr">
        <is>
          <t>Unit</t>
        </is>
      </c>
      <c r="F3" s="9" t="inlineStr">
        <is>
          <t>Extended total</t>
        </is>
      </c>
      <c r="G3" s="9" t="inlineStr">
        <is>
          <t>Protected</t>
        </is>
      </c>
    </row>
    <row r="4">
      <c r="A4" s="12" t="inlineStr">
        <is>
          <t>PO-01</t>
        </is>
      </c>
      <c r="B4" s="12" t="inlineStr">
        <is>
          <t>Valve kits</t>
        </is>
      </c>
      <c r="C4" s="12" t="n">
        <v>20</v>
      </c>
      <c r="D4" s="16" t="n">
        <v>120</v>
      </c>
      <c r="E4" s="16" t="inlineStr">
        <is>
          <t>each</t>
        </is>
      </c>
      <c r="F4" s="16">
        <f>C4*D4</f>
        <v/>
      </c>
      <c r="G4" s="12" t="inlineStr">
        <is>
          <t>No</t>
        </is>
      </c>
    </row>
    <row r="5">
      <c r="A5" s="12" t="inlineStr">
        <is>
          <t>PO-03</t>
        </is>
      </c>
      <c r="B5" s="12" t="inlineStr">
        <is>
          <t>Cable trays</t>
        </is>
      </c>
      <c r="C5" s="12" t="n">
        <v>56</v>
      </c>
      <c r="D5" s="16" t="n">
        <v>56</v>
      </c>
      <c r="E5" s="16" t="inlineStr">
        <is>
          <t>USD per unit</t>
        </is>
      </c>
      <c r="F5" s="16">
        <f>C5*D5</f>
        <v/>
      </c>
      <c r="G5" s="12" t="inlineStr">
        <is>
          <t>No</t>
        </is>
      </c>
    </row>
    <row r="6">
      <c r="A6" s="12" t="inlineStr">
        <is>
          <t>PO-04</t>
        </is>
      </c>
      <c r="B6" s="12" t="inlineStr">
        <is>
          <t>Site safety signage</t>
        </is>
      </c>
      <c r="C6" s="12" t="n">
        <v>4</v>
      </c>
      <c r="D6" s="16" t="n">
        <v>16</v>
      </c>
      <c r="E6" s="16" t="inlineStr">
        <is>
          <t>each</t>
        </is>
      </c>
      <c r="F6" s="16">
        <f>C6*D6</f>
        <v/>
      </c>
      <c r="G6" s="12" t="inlineStr">
        <is>
          <t>Yes</t>
        </is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4" customWidth="1" min="3" max="3"/>
    <col width="17" customWidth="1" min="4" max="4"/>
    <col width="20" customWidth="1" min="5" max="5"/>
    <col width="20" customWidth="1" min="6" max="6"/>
    <col width="22" customWidth="1" min="7" max="7"/>
  </cols>
  <sheetData>
    <row r="1" ht="26" customHeight="1">
      <c r="A1" s="14" t="inlineStr">
        <is>
          <t>Revised Purchase Order Schedule</t>
        </is>
      </c>
    </row>
    <row r="2">
      <c r="A2" s="15" t="n"/>
      <c r="B2" s="15" t="n"/>
      <c r="C2" s="15" t="n"/>
      <c r="D2" s="15" t="n"/>
      <c r="E2" s="15" t="n"/>
      <c r="F2" s="15" t="n"/>
      <c r="G2" s="15" t="n"/>
    </row>
    <row r="3">
      <c r="A3" s="9" t="inlineStr">
        <is>
          <t>Line ID</t>
        </is>
      </c>
      <c r="B3" s="9" t="inlineStr">
        <is>
          <t>Description</t>
        </is>
      </c>
      <c r="C3" s="9" t="inlineStr">
        <is>
          <t>Quantity</t>
        </is>
      </c>
      <c r="D3" s="9" t="inlineStr">
        <is>
          <t>Unit price</t>
        </is>
      </c>
      <c r="E3" s="9" t="inlineStr">
        <is>
          <t>Unit</t>
        </is>
      </c>
      <c r="F3" s="9" t="inlineStr">
        <is>
          <t>Extended total</t>
        </is>
      </c>
      <c r="G3" s="9" t="inlineStr">
        <is>
          <t>Revision status</t>
        </is>
      </c>
    </row>
    <row r="4">
      <c r="A4" s="12" t="inlineStr">
        <is>
          <t>PO-01</t>
        </is>
      </c>
      <c r="B4" s="12" t="inlineStr">
        <is>
          <t>Valve kits</t>
        </is>
      </c>
      <c r="C4" s="12" t="n">
        <v>22</v>
      </c>
      <c r="D4" s="16" t="n">
        <v>120</v>
      </c>
      <c r="E4" s="16" t="inlineStr">
        <is>
          <t>each</t>
        </is>
      </c>
      <c r="F4" s="16">
        <f>C4*D4</f>
        <v/>
      </c>
      <c r="G4" s="12" t="inlineStr">
        <is>
          <t>quantity changed</t>
        </is>
      </c>
    </row>
    <row r="5">
      <c r="A5" s="12" t="inlineStr">
        <is>
          <t>PO-02</t>
        </is>
      </c>
      <c r="B5" s="12" t="inlineStr">
        <is>
          <t>Commissioning</t>
        </is>
      </c>
      <c r="C5" s="12" t="n">
        <v>1</v>
      </c>
      <c r="D5" s="16" t="n">
        <v>140</v>
      </c>
      <c r="E5" s="16" t="inlineStr">
        <is>
          <t>visit</t>
        </is>
      </c>
      <c r="F5" s="16">
        <f>C5*D5</f>
        <v/>
      </c>
      <c r="G5" s="12" t="inlineStr">
        <is>
          <t>inserted</t>
        </is>
      </c>
    </row>
    <row r="6">
      <c r="A6" s="12" t="inlineStr">
        <is>
          <t>PO-03</t>
        </is>
      </c>
      <c r="B6" s="12" t="inlineStr">
        <is>
          <t>Cable trays</t>
        </is>
      </c>
      <c r="C6" s="12" t="n">
        <v>56</v>
      </c>
      <c r="D6" s="16" t="n">
        <v>61</v>
      </c>
      <c r="E6" s="16" t="inlineStr">
        <is>
          <t>USD per unit</t>
        </is>
      </c>
      <c r="F6" s="16">
        <f>C6*D6</f>
        <v/>
      </c>
      <c r="G6" s="12" t="inlineStr">
        <is>
          <t>unit price changed</t>
        </is>
      </c>
    </row>
    <row r="7">
      <c r="A7" s="12" t="inlineStr">
        <is>
          <t>PO-04</t>
        </is>
      </c>
      <c r="B7" s="12" t="inlineStr">
        <is>
          <t>Site safety signage</t>
        </is>
      </c>
      <c r="C7" s="12" t="n">
        <v>4</v>
      </c>
      <c r="D7" s="16" t="n">
        <v>16</v>
      </c>
      <c r="E7" s="16" t="inlineStr">
        <is>
          <t>each</t>
        </is>
      </c>
      <c r="F7" s="16">
        <f>C7*D7</f>
        <v/>
      </c>
      <c r="G7" s="12" t="inlineStr">
        <is>
          <t>unchanged</t>
        </is>
      </c>
    </row>
    <row r="8">
      <c r="A8" s="12" t="str"/>
      <c r="B8" s="12" t="inlineStr">
        <is>
          <t>Revised schedule total</t>
        </is>
      </c>
      <c r="C8" s="12" t="str"/>
      <c r="D8" s="16" t="str"/>
      <c r="E8" s="16" t="str"/>
      <c r="F8" s="16">
        <f>SUM(F4:F7)</f>
        <v/>
      </c>
      <c r="G8" s="12" t="str"/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5" customWidth="1" min="3" max="3"/>
    <col width="25" customWidth="1" min="4" max="4"/>
    <col width="15" customWidth="1" min="5" max="5"/>
  </cols>
  <sheetData>
    <row r="1" ht="26" customHeight="1">
      <c r="A1" s="14" t="inlineStr">
        <is>
          <t>Addendum Revision Log</t>
        </is>
      </c>
    </row>
    <row r="2">
      <c r="A2" s="15" t="n"/>
      <c r="B2" s="15" t="n"/>
      <c r="C2" s="15" t="n"/>
      <c r="D2" s="15" t="n"/>
      <c r="E2" s="15" t="n"/>
    </row>
    <row r="3">
      <c r="A3" s="9" t="inlineStr">
        <is>
          <t>Line ID</t>
        </is>
      </c>
      <c r="B3" s="9" t="inlineStr">
        <is>
          <t>Change type</t>
        </is>
      </c>
      <c r="C3" s="9" t="inlineStr">
        <is>
          <t>Old value</t>
        </is>
      </c>
      <c r="D3" s="9" t="inlineStr">
        <is>
          <t>New value</t>
        </is>
      </c>
      <c r="E3" s="9" t="inlineStr">
        <is>
          <t>Source page</t>
        </is>
      </c>
    </row>
    <row r="4">
      <c r="A4" s="12" t="inlineStr">
        <is>
          <t>PO-01</t>
        </is>
      </c>
      <c r="B4" s="12" t="inlineStr">
        <is>
          <t>quantity changed</t>
        </is>
      </c>
      <c r="C4" s="12" t="inlineStr">
        <is>
          <t>20 each</t>
        </is>
      </c>
      <c r="D4" s="12" t="inlineStr">
        <is>
          <t>22 each</t>
        </is>
      </c>
      <c r="E4" s="12" t="n">
        <v>1</v>
      </c>
    </row>
    <row r="5">
      <c r="A5" s="12" t="inlineStr">
        <is>
          <t>PO-02</t>
        </is>
      </c>
      <c r="B5" s="12" t="inlineStr">
        <is>
          <t>inserted</t>
        </is>
      </c>
      <c r="C5" s="12" t="inlineStr">
        <is>
          <t>Not in base schedule</t>
        </is>
      </c>
      <c r="D5" s="12" t="inlineStr">
        <is>
          <t>$140.00 / visit</t>
        </is>
      </c>
      <c r="E5" s="12" t="n">
        <v>1</v>
      </c>
    </row>
    <row r="6">
      <c r="A6" s="12" t="inlineStr">
        <is>
          <t>PO-03</t>
        </is>
      </c>
      <c r="B6" s="12" t="inlineStr">
        <is>
          <t>unit price changed</t>
        </is>
      </c>
      <c r="C6" s="12" t="inlineStr">
        <is>
          <t>$56.00 / unit</t>
        </is>
      </c>
      <c r="D6" s="12" t="inlineStr">
        <is>
          <t>$61.00 / unit</t>
        </is>
      </c>
      <c r="E6" s="12" t="n">
        <v>1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2" customWidth="1" min="3" max="3"/>
    <col width="39" customWidth="1" min="4" max="4"/>
    <col width="22" customWidth="1" min="5" max="5"/>
  </cols>
  <sheetData>
    <row r="1" ht="26" customHeight="1">
      <c r="A1" s="14" t="inlineStr">
        <is>
          <t>Addendum Source Traceability</t>
        </is>
      </c>
    </row>
    <row r="2">
      <c r="A2" s="15" t="n"/>
      <c r="B2" s="15" t="n"/>
      <c r="C2" s="15" t="n"/>
      <c r="D2" s="15" t="n"/>
      <c r="E2" s="15" t="n"/>
    </row>
    <row r="3">
      <c r="A3" s="9" t="inlineStr">
        <is>
          <t>Line ID</t>
        </is>
      </c>
      <c r="B3" s="9" t="inlineStr">
        <is>
          <t>Source document</t>
        </is>
      </c>
      <c r="C3" s="9" t="inlineStr">
        <is>
          <t>Page</t>
        </is>
      </c>
      <c r="D3" s="9" t="inlineStr">
        <is>
          <t>Text locator</t>
        </is>
      </c>
      <c r="E3" s="9" t="inlineStr">
        <is>
          <t>Target row</t>
        </is>
      </c>
    </row>
    <row r="4">
      <c r="A4" s="12" t="inlineStr">
        <is>
          <t>PO-01</t>
        </is>
      </c>
      <c r="B4" s="12" t="inlineStr">
        <is>
          <t>po_addendum.pdf</t>
        </is>
      </c>
      <c r="C4" s="12" t="n">
        <v>1</v>
      </c>
      <c r="D4" s="12" t="inlineStr">
        <is>
          <t>po_addendum.pdf:p1:valve-kits</t>
        </is>
      </c>
      <c r="E4" s="12" t="inlineStr">
        <is>
          <t>Revised_Schedule!4</t>
        </is>
      </c>
    </row>
    <row r="5">
      <c r="A5" s="12" t="inlineStr">
        <is>
          <t>PO-02</t>
        </is>
      </c>
      <c r="B5" s="12" t="inlineStr">
        <is>
          <t>po_addendum.pdf</t>
        </is>
      </c>
      <c r="C5" s="12" t="n">
        <v>1</v>
      </c>
      <c r="D5" s="12" t="inlineStr">
        <is>
          <t>po_addendum.pdf:p1:commissioning</t>
        </is>
      </c>
      <c r="E5" s="12" t="inlineStr">
        <is>
          <t>Revised_Schedule!5</t>
        </is>
      </c>
    </row>
    <row r="6">
      <c r="A6" s="12" t="inlineStr">
        <is>
          <t>PO-03</t>
        </is>
      </c>
      <c r="B6" s="12" t="inlineStr">
        <is>
          <t>po_addendum.pdf</t>
        </is>
      </c>
      <c r="C6" s="12" t="n">
        <v>1</v>
      </c>
      <c r="D6" s="12" t="inlineStr">
        <is>
          <t>po_addendum.pdf:p1:cable-trays</t>
        </is>
      </c>
      <c r="E6" s="12" t="inlineStr">
        <is>
          <t>Revised_Schedule!6</t>
        </is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20" customWidth="1" min="3" max="3"/>
    <col width="37" customWidth="1" min="4" max="4"/>
  </cols>
  <sheetData>
    <row r="1" ht="26" customHeight="1">
      <c r="A1" s="14" t="inlineStr">
        <is>
          <t>PO Revision Integrity Checks</t>
        </is>
      </c>
    </row>
    <row r="2">
      <c r="A2" s="15" t="n"/>
      <c r="B2" s="15" t="n"/>
      <c r="C2" s="15" t="n"/>
      <c r="D2" s="15" t="n"/>
    </row>
    <row r="3">
      <c r="A3" s="9" t="inlineStr">
        <is>
          <t>Check</t>
        </is>
      </c>
      <c r="B3" s="9" t="inlineStr">
        <is>
          <t>Observed</t>
        </is>
      </c>
      <c r="C3" s="9" t="inlineStr">
        <is>
          <t>Expected</t>
        </is>
      </c>
      <c r="D3" s="9" t="inlineStr">
        <is>
          <t>Interpretation</t>
        </is>
      </c>
    </row>
    <row r="4">
      <c r="A4" s="12" t="inlineStr">
        <is>
          <t>Changed/inserted rows</t>
        </is>
      </c>
      <c r="B4" s="12">
        <f>1+1+1</f>
        <v/>
      </c>
      <c r="C4" s="12" t="n">
        <v>3</v>
      </c>
      <c r="D4" s="12" t="inlineStr">
        <is>
          <t>All addendum changes applied</t>
        </is>
      </c>
    </row>
    <row r="5">
      <c r="A5" s="12" t="inlineStr">
        <is>
          <t>Protected base line</t>
        </is>
      </c>
      <c r="B5" s="12">
        <f>IF('Revised_Schedule'!C7=4,"PASS","CHECK")</f>
        <v/>
      </c>
      <c r="C5" s="12" t="inlineStr">
        <is>
          <t>PASS</t>
        </is>
      </c>
      <c r="D5" s="12" t="inlineStr">
        <is>
          <t>PO-04 remains unchanged</t>
        </is>
      </c>
    </row>
    <row r="6">
      <c r="A6" s="12" t="inlineStr">
        <is>
          <t>Revised schedule total</t>
        </is>
      </c>
      <c r="B6" s="16">
        <f>'Revised_Schedule'!F8</f>
        <v/>
      </c>
      <c r="C6" s="16" t="n">
        <v>6260</v>
      </c>
      <c r="D6" s="12" t="inlineStr">
        <is>
          <t>Formula-linked total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2026-09-04T02:56:44Z</dcterms:created>
  <dcterms:modified xmlns:dcterms="http://purl.org/dc/terms/" xmlns:xsi="http://www.w3.org/2001/XMLSchema-instance" xsi:type="dcterms:W3CDTF">2026-09-04T02:56:44Z</dcterms:modified>
</cp:coreProperties>
</file>