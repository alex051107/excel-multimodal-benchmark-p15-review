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041d99605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ddd20a466c874e74"/>
    <x:sheet xmlns:r="http://schemas.openxmlformats.org/officeDocument/2006/relationships" name="Selected_Sources" sheetId="2" r:id="R2287e5e0656a4665"/>
    <x:sheet xmlns:r="http://schemas.openxmlformats.org/officeDocument/2006/relationships" name="Consolidated_Data" sheetId="3" r:id="R24ffed9aae7e4ae3"/>
    <x:sheet xmlns:r="http://schemas.openxmlformats.org/officeDocument/2006/relationships" name="KPI_Summary" sheetId="4" r:id="R98d0b7d649204f3d"/>
    <x:sheet xmlns:r="http://schemas.openxmlformats.org/officeDocument/2006/relationships" name="Coverage_Checks" sheetId="5" r:id="R55a35f91c95f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fc406e2e84eec" /><Relationship Type="http://schemas.openxmlformats.org/officeDocument/2006/relationships/theme" Target="/xl/theme/theme1.xml" Id="R503b17c81d34482a" /><Relationship Type="http://schemas.openxmlformats.org/officeDocument/2006/relationships/sharedStrings" Target="/xl/sharedStrings.xml" Id="R249a1a9c5a41476d" /><Relationship Type="http://schemas.openxmlformats.org/officeDocument/2006/relationships/worksheet" Target="/xl/worksheets/sheet1.xml" Id="Rddd20a466c874e74" /><Relationship Type="http://schemas.openxmlformats.org/officeDocument/2006/relationships/worksheet" Target="/xl/worksheets/sheet2.xml" Id="R2287e5e0656a4665" /><Relationship Type="http://schemas.openxmlformats.org/officeDocument/2006/relationships/worksheet" Target="/xl/worksheets/sheet3.xml" Id="R24ffed9aae7e4ae3" /><Relationship Type="http://schemas.openxmlformats.org/officeDocument/2006/relationships/worksheet" Target="/xl/worksheets/sheet4.xml" Id="R98d0b7d649204f3d" /><Relationship Type="http://schemas.openxmlformats.org/officeDocument/2006/relationships/worksheet" Target="/xl/worksheets/sheet5.xml" Id="R55a35f91c95f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132000</x:v>
      </x:c>
      <x:c r="F5" s="15" t="n">
        <x:v>88000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 t="str">
        <x:v>REV-105</x:v>
      </x:c>
      <x:c r="B9" s="12" t="str">
        <x:v>South</x:v>
      </x:c>
      <x:c r="C9" s="12" t="str">
        <x:v>Services</x:v>
      </x:c>
      <x:c r="D9" s="12" t="str">
        <x:v>Pipeline</x:v>
      </x:c>
      <x:c r="E9" s="15" t="n">
        <x:v>54000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673000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SUM('Consolidated_Data'!F4:F9)</x:f>
        <x:v>377000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88000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f>IF('Consolidated_Data'!B4=A4,1,0)+IF('Consolidated_Data'!B5=A4,1,0)+IF('Consolidated_Data'!B6=A4,1,0)+IF('Consolidated_Data'!B7=A4,1,0)+IF('Consolidated_Data'!B8=A4,1,0)+IF('Consolidated_Data'!B9=A4,1,0)</x:f>
        <x:v>2</x:v>
      </x:c>
      <x:c r="C4" s="15" t="n">
        <x:f>IF('Consolidated_Data'!B4=A4,'Consolidated_Data'!F4,0)+IF('Consolidated_Data'!B5=A4,'Consolidated_Data'!F5,0)+IF('Consolidated_Data'!B6=A4,'Consolidated_Data'!F6,0)+IF('Consolidated_Data'!B7=A4,'Consolidated_Data'!F7,0)+IF('Consolidated_Data'!B8=A4,'Consolidated_Data'!F8,0)+IF('Consolidated_Data'!B9=A4,'Consolidated_Data'!F9,0)</x:f>
        <x:v>163000</x:v>
      </x:c>
      <x:c r="D4" s="12" t="str">
        <x:v>Required</x:v>
      </x:c>
    </x:row>
    <x:row r="5">
      <x:c r="A5" s="12" t="str">
        <x:v>South</x:v>
      </x:c>
      <x:c r="B5" s="12" t="n">
        <x:f>IF('Consolidated_Data'!B4=A5,1,0)+IF('Consolidated_Data'!B5=A5,1,0)+IF('Consolidated_Data'!B6=A5,1,0)+IF('Consolidated_Data'!B7=A5,1,0)+IF('Consolidated_Data'!B8=A5,1,0)+IF('Consolidated_Data'!B9=A5,1,0)</x:f>
        <x:v>2</x:v>
      </x:c>
      <x:c r="C5" s="15" t="n">
        <x:f>IF('Consolidated_Data'!B4=A5,'Consolidated_Data'!F4,0)+IF('Consolidated_Data'!B5=A5,'Consolidated_Data'!F5,0)+IF('Consolidated_Data'!B6=A5,'Consolidated_Data'!F6,0)+IF('Consolidated_Data'!B7=A5,'Consolidated_Data'!F7,0)+IF('Consolidated_Data'!B8=A5,'Consolidated_Data'!F8,0)+IF('Consolidated_Data'!B9=A5,'Consolidated_Data'!F9,0)</x:f>
        <x:v>88000</x:v>
      </x:c>
      <x:c r="D5" s="12" t="str">
        <x:v>Required</x:v>
      </x:c>
    </x:row>
    <x:row r="6">
      <x:c r="A6" s="12" t="str">
        <x:v>East</x:v>
      </x:c>
      <x:c r="B6" s="12" t="n">
        <x:f>IF('Consolidated_Data'!B4=A6,1,0)+IF('Consolidated_Data'!B5=A6,1,0)+IF('Consolidated_Data'!B6=A6,1,0)+IF('Consolidated_Data'!B7=A6,1,0)+IF('Consolidated_Data'!B8=A6,1,0)+IF('Consolidated_Data'!B9=A6,1,0)</x:f>
        <x:v>1</x:v>
      </x:c>
      <x:c r="C6" s="15" t="n">
        <x:f>IF('Consolidated_Data'!B4=A6,'Consolidated_Data'!F4,0)+IF('Consolidated_Data'!B5=A6,'Consolidated_Data'!F5,0)+IF('Consolidated_Data'!B6=A6,'Consolidated_Data'!F6,0)+IF('Consolidated_Data'!B7=A6,'Consolidated_Data'!F7,0)+IF('Consolidated_Data'!B8=A6,'Consolidated_Data'!F8,0)+IF('Consolidated_Data'!B9=A6,'Consolidated_Data'!F9,0)</x:f>
        <x:v>126000</x:v>
      </x:c>
      <x:c r="D6" s="12" t="str">
        <x:v>Required</x:v>
      </x:c>
    </x:row>
    <x:row r="7">
      <x:c r="A7" s="12" t="str">
        <x:v>West</x:v>
      </x:c>
      <x:c r="B7" s="12" t="n">
        <x:f>IF('Consolidated_Data'!B4=A7,1,0)+IF('Consolidated_Data'!B5=A7,1,0)+IF('Consolidated_Data'!B6=A7,1,0)+IF('Consolidated_Data'!B7=A7,1,0)+IF('Consolidated_Data'!B8=A7,1,0)+IF('Consolidated_Data'!B9=A7,1,0)</x:f>
        <x:v>1</x:v>
      </x:c>
      <x:c r="C7" s="15" t="n">
        <x:f>IF('Consolidated_Data'!B4=A7,'Consolidated_Data'!F4,0)+IF('Consolidated_Data'!B5=A7,'Consolidated_Data'!F5,0)+IF('Consolidated_Data'!B6=A7,'Consolidated_Data'!F6,0)+IF('Consolidated_Data'!B7=A7,'Consolidated_Data'!F7,0)+IF('Consolidated_Data'!B8=A7,'Consolidated_Data'!F8,0)+IF('Consolidated_Data'!B9=A7,'Consolidated_Data'!F9,0)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