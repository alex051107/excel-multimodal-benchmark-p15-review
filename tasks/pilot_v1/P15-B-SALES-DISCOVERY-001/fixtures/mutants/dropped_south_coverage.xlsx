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789852088841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_Registry" sheetId="1" r:id="R1a8e1fe5e0d44e66"/>
    <x:sheet xmlns:r="http://schemas.openxmlformats.org/officeDocument/2006/relationships" name="Selected_Sources" sheetId="2" r:id="Rba6e7f61561f4fae"/>
    <x:sheet xmlns:r="http://schemas.openxmlformats.org/officeDocument/2006/relationships" name="Consolidated_Data" sheetId="3" r:id="R58159280dc844aa0"/>
    <x:sheet xmlns:r="http://schemas.openxmlformats.org/officeDocument/2006/relationships" name="KPI_Summary" sheetId="4" r:id="R12e631ef33c8403a"/>
    <x:sheet xmlns:r="http://schemas.openxmlformats.org/officeDocument/2006/relationships" name="Coverage_Checks" sheetId="5" r:id="R8453127ce30a4d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c13b782ec64984" /><Relationship Type="http://schemas.openxmlformats.org/officeDocument/2006/relationships/theme" Target="/xl/theme/theme1.xml" Id="Rc9d2b2d2c59b446d" /><Relationship Type="http://schemas.openxmlformats.org/officeDocument/2006/relationships/sharedStrings" Target="/xl/sharedStrings.xml" Id="R8b21d876b5ae4f49" /><Relationship Type="http://schemas.openxmlformats.org/officeDocument/2006/relationships/worksheet" Target="/xl/worksheets/sheet1.xml" Id="R1a8e1fe5e0d44e66" /><Relationship Type="http://schemas.openxmlformats.org/officeDocument/2006/relationships/worksheet" Target="/xl/worksheets/sheet2.xml" Id="Rba6e7f61561f4fae" /><Relationship Type="http://schemas.openxmlformats.org/officeDocument/2006/relationships/worksheet" Target="/xl/worksheets/sheet3.xml" Id="R58159280dc844aa0" /><Relationship Type="http://schemas.openxmlformats.org/officeDocument/2006/relationships/worksheet" Target="/xl/worksheets/sheet4.xml" Id="R12e631ef33c8403a" /><Relationship Type="http://schemas.openxmlformats.org/officeDocument/2006/relationships/worksheet" Target="/xl/worksheets/sheet5.xml" Id="R8453127ce30a4d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14" hidden="0" customWidth="1"/>
    <x:col min="4" max="4" width="16" hidden="0" customWidth="1"/>
    <x:col min="5" max="5" width="20" hidden="0" customWidth="1"/>
    <x:col min="6" max="6" width="14" hidden="0" customWidth="1"/>
    <x:col min="7" max="7" width="18" hidden="0" customWidth="1"/>
    <x:col min="8" max="8" width="42" hidden="0" customWidth="1"/>
  </x:cols>
  <x:sheetData>
    <x:row r="1" ht="26" customHeight="1">
      <x:c r="A1" s="13" t="str">
        <x:v>Q2 Revenue Release Registry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Release ID</x:v>
      </x:c>
      <x:c r="B3" s="9" t="str">
        <x:v>File</x:v>
      </x:c>
      <x:c r="C3" s="9" t="str">
        <x:v>Period</x:v>
      </x:c>
      <x:c r="D3" s="9" t="str">
        <x:v>Published</x:v>
      </x:c>
      <x:c r="E3" s="9" t="str">
        <x:v>Supersedes</x:v>
      </x:c>
      <x:c r="F3" s="9" t="str">
        <x:v>Schema</x:v>
      </x:c>
      <x:c r="G3" s="9" t="str">
        <x:v>Coverage</x:v>
      </x:c>
      <x:c r="H3" s="9" t="str">
        <x:v>Disposition</x:v>
      </x:c>
    </x:row>
    <x:row r="4">
      <x:c r="A4" s="12" t="str">
        <x:v>RLS-2024Q1-003</x:v>
      </x:c>
      <x:c r="B4" s="12" t="str">
        <x:v>revenue_q1_final.csv</x:v>
      </x:c>
      <x:c r="C4" s="12" t="str">
        <x:v>2024Q1</x:v>
      </x:c>
      <x:c r="D4" s="12" t="str">
        <x:v>2024-04-30</x:v>
      </x:c>
      <x:c r="E4" s="12" t="str"/>
      <x:c r="F4" s="12" t="str">
        <x:v>1.1</x:v>
      </x:c>
      <x:c r="G4" s="12" t="str">
        <x:v>complete</x:v>
      </x:c>
      <x:c r="H4" s="12" t="str">
        <x:v>Wrong reporting period</x:v>
      </x:c>
    </x:row>
    <x:row r="5">
      <x:c r="A5" s="12" t="str">
        <x:v>RLS-2024Q2-001</x:v>
      </x:c>
      <x:c r="B5" s="12" t="str">
        <x:v>revenue_q2_draft.csv</x:v>
      </x:c>
      <x:c r="C5" s="12" t="str">
        <x:v>2024Q2</x:v>
      </x:c>
      <x:c r="D5" s="12" t="str">
        <x:v>2024-07-15</x:v>
      </x:c>
      <x:c r="E5" s="12" t="str"/>
      <x:c r="F5" s="12" t="str">
        <x:v>1.0</x:v>
      </x:c>
      <x:c r="G5" s="12" t="str">
        <x:v>incomplete</x:v>
      </x:c>
      <x:c r="H5" s="12" t="str">
        <x:v>Superseded and missing South coverage</x:v>
      </x:c>
    </x:row>
    <x:row r="6">
      <x:c r="A6" s="12" t="str">
        <x:v>RLS-2024Q2-002</x:v>
      </x:c>
      <x:c r="B6" s="12" t="str">
        <x:v>revenue_q2_corrected.csv</x:v>
      </x:c>
      <x:c r="C6" s="12" t="str">
        <x:v>2024Q2</x:v>
      </x:c>
      <x:c r="D6" s="12" t="str">
        <x:v>2024-08-02</x:v>
      </x:c>
      <x:c r="E6" s="12" t="str">
        <x:v>RLS-2024Q2-001</x:v>
      </x:c>
      <x:c r="F6" s="12" t="str">
        <x:v>1.1</x:v>
      </x:c>
      <x:c r="G6" s="12" t="str">
        <x:v>complete</x:v>
      </x:c>
      <x:c r="H6" s="12" t="str">
        <x:v>Use for Q2 operating review</x:v>
      </x:c>
    </x:row>
    <x:row r="7">
      <x:c r="A7" s="12" t="str">
        <x:v>RLS-2024Q2-003</x:v>
      </x:c>
      <x:c r="B7" s="12" t="str">
        <x:v>revenue_q2_test_schema.csv</x:v>
      </x:c>
      <x:c r="C7" s="12" t="str">
        <x:v>2024Q2</x:v>
      </x:c>
      <x:c r="D7" s="12" t="str">
        <x:v>2024-08-05</x:v>
      </x:c>
      <x:c r="E7" s="12" t="str">
        <x:v>RLS-2024Q2-002</x:v>
      </x:c>
      <x:c r="F7" s="12" t="str">
        <x:v>2.0-test</x:v>
      </x:c>
      <x:c r="G7" s="12" t="str">
        <x:v>partial</x:v>
      </x:c>
      <x:c r="H7" s="12" t="str">
        <x:v>Not an approved reporting schema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14" hidden="0" customWidth="1"/>
    <x:col min="4" max="4" width="15" hidden="0" customWidth="1"/>
    <x:col min="5" max="5" width="54" hidden="0" customWidth="1"/>
  </x:cols>
  <x:sheetData>
    <x:row r="1" ht="26" customHeight="1">
      <x:c r="A1" s="13" t="str">
        <x:v>Source Selection Record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9" t="str">
        <x:v>Release ID</x:v>
      </x:c>
      <x:c r="B3" s="9" t="str">
        <x:v>File</x:v>
      </x:c>
      <x:c r="C3" s="9" t="str">
        <x:v>Period</x:v>
      </x:c>
      <x:c r="D3" s="9" t="str">
        <x:v>Coverage</x:v>
      </x:c>
      <x:c r="E3" s="9" t="str">
        <x:v>Reason</x:v>
      </x:c>
    </x:row>
    <x:row r="4">
      <x:c r="A4" s="12" t="str">
        <x:v>RLS-2024Q2-002</x:v>
      </x:c>
      <x:c r="B4" s="12" t="str">
        <x:v>revenue_q2_corrected.csv</x:v>
      </x:c>
      <x:c r="C4" s="12" t="str">
        <x:v>2024Q2</x:v>
      </x:c>
      <x:c r="D4" s="12" t="str">
        <x:v>complete</x:v>
      </x:c>
      <x:c r="E4" s="12" t="str">
        <x:v>Latest approved complete release for the requested period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16" hidden="0" customWidth="1"/>
    <x:col min="5" max="5" width="18" hidden="0" customWidth="1"/>
    <x:col min="6" max="6" width="24" hidden="0" customWidth="1"/>
    <x:col min="7" max="7" width="18" hidden="0" customWidth="1"/>
  </x:cols>
  <x:sheetData>
    <x:row r="1" ht="26" customHeight="1">
      <x:c r="A1" s="13" t="str">
        <x:v>Selected Q2 Revenue Records</x:v>
      </x:c>
      <x:c r="B1" s="13"/>
      <x:c r="C1" s="13"/>
      <x:c r="D1" s="13"/>
      <x:c r="E1" s="13"/>
      <x:c r="F1" s="13"/>
      <x:c r="G1" s="13"/>
    </x:row>
    <x:row r="2">
      <x:c r="A2" s="14"/>
      <x:c r="B2" s="14"/>
      <x:c r="C2" s="14"/>
      <x:c r="D2" s="14"/>
      <x:c r="E2" s="14"/>
      <x:c r="F2" s="14"/>
      <x:c r="G2" s="14"/>
    </x:row>
    <x:row r="3">
      <x:c r="A3" s="9" t="str">
        <x:v>Record ID</x:v>
      </x:c>
      <x:c r="B3" s="9" t="str">
        <x:v>Region</x:v>
      </x:c>
      <x:c r="C3" s="9" t="str">
        <x:v>Product</x:v>
      </x:c>
      <x:c r="D3" s="9" t="str">
        <x:v>Stage</x:v>
      </x:c>
      <x:c r="E3" s="9" t="str">
        <x:v>Bookings ($)</x:v>
      </x:c>
      <x:c r="F3" s="9" t="str">
        <x:v>Recognized revenue ($)</x:v>
      </x:c>
      <x:c r="G3" s="9" t="str">
        <x:v>Closed-won flag</x:v>
      </x:c>
    </x:row>
    <x:row r="4">
      <x:c r="A4" s="12" t="str">
        <x:v>REV-100</x:v>
      </x:c>
      <x:c r="B4" s="12" t="str">
        <x:v>North</x:v>
      </x:c>
      <x:c r="C4" s="12" t="str">
        <x:v>Analytics</x:v>
      </x:c>
      <x:c r="D4" s="12" t="str">
        <x:v>Closed Won</x:v>
      </x:c>
      <x:c r="E4" s="15" t="n">
        <x:v>145000</x:v>
      </x:c>
      <x:c r="F4" s="15" t="n">
        <x:v>102000</x:v>
      </x:c>
      <x:c r="G4" s="12" t="n">
        <x:v>1</x:v>
      </x:c>
    </x:row>
    <x:row r="5">
      <x:c r="A5" s="12" t="str">
        <x:v>REV-101</x:v>
      </x:c>
      <x:c r="B5" s="12" t="str">
        <x:v>South</x:v>
      </x:c>
      <x:c r="C5" s="12" t="str">
        <x:v>Analytics</x:v>
      </x:c>
      <x:c r="D5" s="12" t="str">
        <x:v>Closed Won</x:v>
      </x:c>
      <x:c r="E5" s="15" t="n">
        <x:v>132000</x:v>
      </x:c>
      <x:c r="F5" s="15" t="n">
        <x:v>88000</x:v>
      </x:c>
      <x:c r="G5" s="12" t="n">
        <x:v>1</x:v>
      </x:c>
    </x:row>
    <x:row r="6">
      <x:c r="A6" s="12" t="str">
        <x:v>REV-102</x:v>
      </x:c>
      <x:c r="B6" s="12" t="str">
        <x:v>East</x:v>
      </x:c>
      <x:c r="C6" s="12" t="str">
        <x:v>Platform</x:v>
      </x:c>
      <x:c r="D6" s="12" t="str">
        <x:v>Closed Won</x:v>
      </x:c>
      <x:c r="E6" s="15" t="n">
        <x:v>168000</x:v>
      </x:c>
      <x:c r="F6" s="15" t="n">
        <x:v>126000</x:v>
      </x:c>
      <x:c r="G6" s="12" t="n">
        <x:v>1</x:v>
      </x:c>
    </x:row>
    <x:row r="7">
      <x:c r="A7" s="12" t="str">
        <x:v>REV-103</x:v>
      </x:c>
      <x:c r="B7" s="12" t="str">
        <x:v>West</x:v>
      </x:c>
      <x:c r="C7" s="12" t="str">
        <x:v>Platform</x:v>
      </x:c>
      <x:c r="D7" s="12" t="str">
        <x:v>Pipeline</x:v>
      </x:c>
      <x:c r="E7" s="15" t="n">
        <x:v>98000</x:v>
      </x:c>
      <x:c r="F7" s="15" t="n">
        <x:v>0</x:v>
      </x:c>
      <x:c r="G7" s="12" t="n">
        <x:v>0</x:v>
      </x:c>
    </x:row>
    <x:row r="8">
      <x:c r="A8" s="12" t="str">
        <x:v>REV-104</x:v>
      </x:c>
      <x:c r="B8" s="12" t="str">
        <x:v>North</x:v>
      </x:c>
      <x:c r="C8" s="12" t="str">
        <x:v>Services</x:v>
      </x:c>
      <x:c r="D8" s="12" t="str">
        <x:v>Closed Won</x:v>
      </x:c>
      <x:c r="E8" s="15" t="n">
        <x:v>76000</x:v>
      </x:c>
      <x:c r="F8" s="15" t="n">
        <x:v>61000</x:v>
      </x:c>
      <x:c r="G8" s="12" t="n">
        <x:v>1</x:v>
      </x:c>
    </x:row>
    <x:row r="9">
      <x:c r="A9" s="12"/>
      <x:c r="B9" s="12"/>
      <x:c r="C9" s="12"/>
      <x:c r="D9" s="12"/>
      <x:c r="E9" s="15"/>
      <x:c r="F9" s="15"/>
      <x:c r="G9" s="12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36" hidden="0" customWidth="1"/>
    <x:col min="4" max="4" width="28" hidden="0" customWidth="1"/>
  </x:cols>
  <x:sheetData>
    <x:row r="1" ht="26" customHeight="1">
      <x:c r="A1" s="13" t="str">
        <x:v>Revenue Operations KPI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Metric</x:v>
      </x:c>
      <x:c r="B3" s="9" t="str">
        <x:v>Value</x:v>
      </x:c>
      <x:c r="C3" s="9" t="str">
        <x:v>Interpretation</x:v>
      </x:c>
      <x:c r="D3" s="9" t="str">
        <x:v>Evidence</x:v>
      </x:c>
    </x:row>
    <x:row r="4">
      <x:c r="A4" s="12" t="str">
        <x:v>Total bookings</x:v>
      </x:c>
      <x:c r="B4" s="15" t="n">
        <x:f>SUM('Consolidated_Data'!E4:E9)</x:f>
        <x:v>619000</x:v>
      </x:c>
      <x:c r="C4" s="12" t="str">
        <x:v>Q2 selected release</x:v>
      </x:c>
      <x:c r="D4" s="12" t="str">
        <x:v>Consolidated_Data</x:v>
      </x:c>
    </x:row>
    <x:row r="5">
      <x:c r="A5" s="12" t="str">
        <x:v>Recognized revenue</x:v>
      </x:c>
      <x:c r="B5" s="15" t="n">
        <x:f>SUM('Consolidated_Data'!F4:F9)</x:f>
        <x:v>377000</x:v>
      </x:c>
      <x:c r="C5" s="12" t="str">
        <x:v>Closed-won delivery</x:v>
      </x:c>
      <x:c r="D5" s="12" t="str">
        <x:v>Consolidated_Data</x:v>
      </x:c>
    </x:row>
    <x:row r="6">
      <x:c r="A6" s="12" t="str">
        <x:v>Closed-won records</x:v>
      </x:c>
      <x:c r="B6" s="12" t="n">
        <x:f>SUM('Consolidated_Data'!G4:G9)</x:f>
        <x:v>4</x:v>
      </x:c>
      <x:c r="C6" s="12" t="str">
        <x:v>Count of closed revenue records</x:v>
      </x:c>
      <x:c r="D6" s="12" t="str">
        <x:v>Consolidated_Data</x:v>
      </x:c>
    </x:row>
    <x:row r="7">
      <x:c r="A7" s="12" t="str">
        <x:v>South recognized revenue</x:v>
      </x:c>
      <x:c r="B7" s="12" t="n">
        <x:f>'Consolidated_Data'!F5+'Consolidated_Data'!F9</x:f>
        <x:v>88000</x:v>
      </x:c>
      <x:c r="C7" s="12" t="str">
        <x:v>Coverage-sensitive regional KPI</x:v>
      </x:c>
      <x:c r="D7" s="12" t="str">
        <x:v>Consolidated_Data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24" hidden="0" customWidth="1"/>
    <x:col min="4" max="4" width="18" hidden="0" customWidth="1"/>
  </x:cols>
  <x:sheetData>
    <x:row r="1" ht="26" customHeight="1">
      <x:c r="A1" s="13" t="str">
        <x:v>Regional Coverage Checks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Region</x:v>
      </x:c>
      <x:c r="B3" s="9" t="str">
        <x:v>Record count</x:v>
      </x:c>
      <x:c r="C3" s="9" t="str">
        <x:v>Recognized revenue</x:v>
      </x:c>
      <x:c r="D3" s="9" t="str">
        <x:v>Status</x:v>
      </x:c>
    </x:row>
    <x:row r="4">
      <x:c r="A4" s="12" t="str">
        <x:v>North</x:v>
      </x:c>
      <x:c r="B4" s="12" t="n">
        <x:v>2</x:v>
      </x:c>
      <x:c r="C4" s="15" t="n">
        <x:f>'Consolidated_Data'!F4+'Consolidated_Data'!F8</x:f>
        <x:v>163000</x:v>
      </x:c>
      <x:c r="D4" s="12" t="str">
        <x:v>Required</x:v>
      </x:c>
    </x:row>
    <x:row r="5">
      <x:c r="A5" s="12" t="str">
        <x:v>South</x:v>
      </x:c>
      <x:c r="B5" s="12" t="n">
        <x:v>2</x:v>
      </x:c>
      <x:c r="C5" s="15" t="n">
        <x:f>'Consolidated_Data'!F5+'Consolidated_Data'!F9</x:f>
        <x:v>88000</x:v>
      </x:c>
      <x:c r="D5" s="12" t="str">
        <x:v>Required</x:v>
      </x:c>
    </x:row>
    <x:row r="6">
      <x:c r="A6" s="12" t="str">
        <x:v>East</x:v>
      </x:c>
      <x:c r="B6" s="12" t="n">
        <x:v>1</x:v>
      </x:c>
      <x:c r="C6" s="15" t="n">
        <x:f>'Consolidated_Data'!F6</x:f>
        <x:v>126000</x:v>
      </x:c>
      <x:c r="D6" s="12" t="str">
        <x:v>Required</x:v>
      </x:c>
    </x:row>
    <x:row r="7">
      <x:c r="A7" s="12" t="str">
        <x:v>West</x:v>
      </x:c>
      <x:c r="B7" s="12" t="n">
        <x:v>1</x:v>
      </x:c>
      <x:c r="C7" s="15" t="n">
        <x:f>'Consolidated_Data'!F7</x:f>
        <x:v>0</x:v>
      </x:c>
      <x:c r="D7" s="12" t="str">
        <x:v>Required</x:v>
      </x:c>
    </x:row>
  </x:sheetData>
  <x:mergeCells>
    <x:mergeCell ref="A1:D1"/>
  </x:mergeCells>
  <x:pageMargins left="0.7" right="0.7" top="0.75" bottom="0.75" header="0.3" footer="0.3"/>
</x:worksheet>
</file>