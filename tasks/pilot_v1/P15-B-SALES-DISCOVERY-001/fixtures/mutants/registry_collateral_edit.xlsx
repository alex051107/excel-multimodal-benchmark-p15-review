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7a108d773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917221022e9e4812"/>
    <x:sheet xmlns:r="http://schemas.openxmlformats.org/officeDocument/2006/relationships" name="Selected_Sources" sheetId="2" r:id="R1ad312803ecd422d"/>
    <x:sheet xmlns:r="http://schemas.openxmlformats.org/officeDocument/2006/relationships" name="Consolidated_Data" sheetId="3" r:id="R3806ffd7f8f7423b"/>
    <x:sheet xmlns:r="http://schemas.openxmlformats.org/officeDocument/2006/relationships" name="KPI_Summary" sheetId="4" r:id="R9a7a0100548441dc"/>
    <x:sheet xmlns:r="http://schemas.openxmlformats.org/officeDocument/2006/relationships" name="Coverage_Checks" sheetId="5" r:id="Rd49ba6d6f1de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8f71044274160" /><Relationship Type="http://schemas.openxmlformats.org/officeDocument/2006/relationships/theme" Target="/xl/theme/theme1.xml" Id="R1649d3ba439d48fb" /><Relationship Type="http://schemas.openxmlformats.org/officeDocument/2006/relationships/sharedStrings" Target="/xl/sharedStrings.xml" Id="Rdcc1efd934fb4956" /><Relationship Type="http://schemas.openxmlformats.org/officeDocument/2006/relationships/worksheet" Target="/xl/worksheets/sheet1.xml" Id="R917221022e9e4812" /><Relationship Type="http://schemas.openxmlformats.org/officeDocument/2006/relationships/worksheet" Target="/xl/worksheets/sheet2.xml" Id="R1ad312803ecd422d" /><Relationship Type="http://schemas.openxmlformats.org/officeDocument/2006/relationships/worksheet" Target="/xl/worksheets/sheet3.xml" Id="R3806ffd7f8f7423b" /><Relationship Type="http://schemas.openxmlformats.org/officeDocument/2006/relationships/worksheet" Target="/xl/worksheets/sheet4.xml" Id="R9a7a0100548441dc" /><Relationship Type="http://schemas.openxmlformats.org/officeDocument/2006/relationships/worksheet" Target="/xl/worksheets/sheet5.xml" Id="Rd49ba6d6f1de43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partial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 t="str">
        <x:v>RLS-2024Q2-002</x:v>
      </x:c>
      <x:c r="B4" s="12" t="str">
        <x:v>revenue_q2_corrected.csv</x:v>
      </x:c>
      <x:c r="C4" s="12" t="str">
        <x:v>2024Q2</x:v>
      </x:c>
      <x:c r="D4" s="12" t="str">
        <x:v>complete</x:v>
      </x:c>
      <x:c r="E4" s="12" t="str">
        <x:v>Latest approved complete release for the requested period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 t="str">
        <x:v>REV-100</x:v>
      </x:c>
      <x:c r="B4" s="12" t="str">
        <x:v>North</x:v>
      </x:c>
      <x:c r="C4" s="12" t="str">
        <x:v>Analytics</x:v>
      </x:c>
      <x:c r="D4" s="12" t="str">
        <x:v>Closed Won</x:v>
      </x:c>
      <x:c r="E4" s="15" t="n">
        <x:v>145000</x:v>
      </x:c>
      <x:c r="F4" s="15" t="n">
        <x:v>102000</x:v>
      </x:c>
      <x:c r="G4" s="12" t="n">
        <x:v>1</x:v>
      </x:c>
    </x:row>
    <x:row r="5">
      <x:c r="A5" s="12" t="str">
        <x:v>REV-101</x:v>
      </x:c>
      <x:c r="B5" s="12" t="str">
        <x:v>South</x:v>
      </x:c>
      <x:c r="C5" s="12" t="str">
        <x:v>Analytics</x:v>
      </x:c>
      <x:c r="D5" s="12" t="str">
        <x:v>Closed Won</x:v>
      </x:c>
      <x:c r="E5" s="15" t="n">
        <x:v>132000</x:v>
      </x:c>
      <x:c r="F5" s="15" t="n">
        <x:v>88000</x:v>
      </x:c>
      <x:c r="G5" s="12" t="n">
        <x:v>1</x:v>
      </x:c>
    </x:row>
    <x:row r="6">
      <x:c r="A6" s="12" t="str">
        <x:v>REV-102</x:v>
      </x:c>
      <x:c r="B6" s="12" t="str">
        <x:v>East</x:v>
      </x:c>
      <x:c r="C6" s="12" t="str">
        <x:v>Platform</x:v>
      </x:c>
      <x:c r="D6" s="12" t="str">
        <x:v>Closed Won</x:v>
      </x:c>
      <x:c r="E6" s="15" t="n">
        <x:v>168000</x:v>
      </x:c>
      <x:c r="F6" s="15" t="n">
        <x:v>126000</x:v>
      </x:c>
      <x:c r="G6" s="12" t="n">
        <x:v>1</x:v>
      </x:c>
    </x:row>
    <x:row r="7">
      <x:c r="A7" s="12" t="str">
        <x:v>REV-103</x:v>
      </x:c>
      <x:c r="B7" s="12" t="str">
        <x:v>West</x:v>
      </x:c>
      <x:c r="C7" s="12" t="str">
        <x:v>Platform</x:v>
      </x:c>
      <x:c r="D7" s="12" t="str">
        <x:v>Pipeline</x:v>
      </x:c>
      <x:c r="E7" s="15" t="n">
        <x:v>98000</x:v>
      </x:c>
      <x:c r="F7" s="15" t="n">
        <x:v>0</x:v>
      </x:c>
      <x:c r="G7" s="12" t="n">
        <x:v>0</x:v>
      </x:c>
    </x:row>
    <x:row r="8">
      <x:c r="A8" s="12" t="str">
        <x:v>REV-104</x:v>
      </x:c>
      <x:c r="B8" s="12" t="str">
        <x:v>North</x:v>
      </x:c>
      <x:c r="C8" s="12" t="str">
        <x:v>Services</x:v>
      </x:c>
      <x:c r="D8" s="12" t="str">
        <x:v>Closed Won</x:v>
      </x:c>
      <x:c r="E8" s="15" t="n">
        <x:v>76000</x:v>
      </x:c>
      <x:c r="F8" s="15" t="n">
        <x:v>61000</x:v>
      </x:c>
      <x:c r="G8" s="12" t="n">
        <x:v>1</x:v>
      </x:c>
    </x:row>
    <x:row r="9">
      <x:c r="A9" s="12" t="str">
        <x:v>REV-105</x:v>
      </x:c>
      <x:c r="B9" s="12" t="str">
        <x:v>South</x:v>
      </x:c>
      <x:c r="C9" s="12" t="str">
        <x:v>Services</x:v>
      </x:c>
      <x:c r="D9" s="12" t="str">
        <x:v>Pipeline</x:v>
      </x:c>
      <x:c r="E9" s="15" t="n">
        <x:v>54000</x:v>
      </x:c>
      <x:c r="F9" s="15" t="n">
        <x:v>0</x:v>
      </x:c>
      <x:c r="G9" s="12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 t="n">
        <x:f>SUM('Consolidated_Data'!E4:E9)</x:f>
        <x:v>673000</x:v>
      </x:c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 t="n">
        <x:f>SUM('Consolidated_Data'!F4:F9)</x:f>
        <x:v>377000</x:v>
      </x:c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 t="n">
        <x:f>SUM('Consolidated_Data'!G4:G9)</x:f>
        <x:v>4</x:v>
      </x:c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 t="n">
        <x:f>'Consolidated_Data'!F5+'Consolidated_Data'!F9</x:f>
        <x:v>88000</x:v>
      </x:c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 t="n">
        <x:v>2</x:v>
      </x:c>
      <x:c r="C4" s="15" t="n">
        <x:f>'Consolidated_Data'!F4+'Consolidated_Data'!F8</x:f>
        <x:v>163000</x:v>
      </x:c>
      <x:c r="D4" s="12" t="str">
        <x:v>Required</x:v>
      </x:c>
    </x:row>
    <x:row r="5">
      <x:c r="A5" s="12" t="str">
        <x:v>South</x:v>
      </x:c>
      <x:c r="B5" s="12" t="n">
        <x:v>2</x:v>
      </x:c>
      <x:c r="C5" s="15" t="n">
        <x:f>'Consolidated_Data'!F5+'Consolidated_Data'!F9</x:f>
        <x:v>88000</x:v>
      </x:c>
      <x:c r="D5" s="12" t="str">
        <x:v>Required</x:v>
      </x:c>
    </x:row>
    <x:row r="6">
      <x:c r="A6" s="12" t="str">
        <x:v>East</x:v>
      </x:c>
      <x:c r="B6" s="12" t="n">
        <x:v>1</x:v>
      </x:c>
      <x:c r="C6" s="15" t="n">
        <x:f>'Consolidated_Data'!F6</x:f>
        <x:v>126000</x:v>
      </x:c>
      <x:c r="D6" s="12" t="str">
        <x:v>Required</x:v>
      </x:c>
    </x:row>
    <x:row r="7">
      <x:c r="A7" s="12" t="str">
        <x:v>West</x:v>
      </x:c>
      <x:c r="B7" s="12" t="n">
        <x:v>1</x:v>
      </x:c>
      <x:c r="C7" s="15" t="n">
        <x:f>'Consolidated_Data'!F7</x:f>
        <x:v>0</x:v>
      </x:c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