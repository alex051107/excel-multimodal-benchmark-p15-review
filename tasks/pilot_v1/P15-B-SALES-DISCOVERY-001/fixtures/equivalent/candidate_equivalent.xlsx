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ad7e600b9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9ba492bfd2e54b88"/>
    <x:sheet xmlns:r="http://schemas.openxmlformats.org/officeDocument/2006/relationships" name="Selected_Sources" sheetId="2" r:id="Rca68304aab124bf6"/>
    <x:sheet xmlns:r="http://schemas.openxmlformats.org/officeDocument/2006/relationships" name="Consolidated_Data" sheetId="3" r:id="Rcdb568ea7b9648c8"/>
    <x:sheet xmlns:r="http://schemas.openxmlformats.org/officeDocument/2006/relationships" name="KPI_Summary" sheetId="4" r:id="Rf426bc22c68e42cc"/>
    <x:sheet xmlns:r="http://schemas.openxmlformats.org/officeDocument/2006/relationships" name="Coverage_Checks" sheetId="5" r:id="R5f5e0899f67f4ad6"/>
    <x:sheet xmlns:r="http://schemas.openxmlformats.org/officeDocument/2006/relationships" name="Alternative_Control" sheetId="6" r:id="R8a71ee1c77ad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  <x:border/>
    <x:border/>
    <x:border/>
    <x:border/>
    <x:border/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0" fontId="0" fillId="0" borderId="3" xfId="0" applyNumberFormat="1" applyFont="1" applyFill="1" applyBorder="1"/>
    <x:xf numFmtId="200" fontId="0" fillId="0" xfId="0" applyNumberFormat="1" applyFont="1" applyFill="1" applyBorder="0"/>
    <x:xf numFmtId="201" fontId="0" fillId="0" xfId="0" applyNumberFormat="1" applyFont="1" applyFill="1" applyBorder="0"/>
    <x:xf numFmtId="201" fontId="0" fillId="0" borderId="8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9772c591c4c0b" /><Relationship Type="http://schemas.openxmlformats.org/officeDocument/2006/relationships/theme" Target="/xl/theme/theme1.xml" Id="Rafef24257fdd4cc7" /><Relationship Type="http://schemas.openxmlformats.org/officeDocument/2006/relationships/sharedStrings" Target="/xl/sharedStrings.xml" Id="R65dd6926ec2a4c9c" /><Relationship Type="http://schemas.openxmlformats.org/officeDocument/2006/relationships/worksheet" Target="/xl/worksheets/sheet1.xml" Id="R9ba492bfd2e54b88" /><Relationship Type="http://schemas.openxmlformats.org/officeDocument/2006/relationships/worksheet" Target="/xl/worksheets/sheet2.xml" Id="Rca68304aab124bf6" /><Relationship Type="http://schemas.openxmlformats.org/officeDocument/2006/relationships/worksheet" Target="/xl/worksheets/sheet3.xml" Id="Rcdb568ea7b9648c8" /><Relationship Type="http://schemas.openxmlformats.org/officeDocument/2006/relationships/worksheet" Target="/xl/worksheets/sheet4.xml" Id="Rf426bc22c68e42cc" /><Relationship Type="http://schemas.openxmlformats.org/officeDocument/2006/relationships/worksheet" Target="/xl/worksheets/sheet5.xml" Id="R5f5e0899f67f4ad6" /><Relationship Type="http://schemas.openxmlformats.org/officeDocument/2006/relationships/worksheet" Target="/xl/worksheets/sheet6.xml" Id="R8a71ee1c77ad46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RLS-2024Q2-002</x:v>
      </x:c>
      <x:c r="B4" s="12" t="str">
        <x:v>revenue_q2_corrected.csv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REV-100</x:v>
      </x:c>
      <x:c r="B4" s="12" t="str">
        <x:v>North</x:v>
      </x:c>
      <x:c r="C4" s="12" t="str">
        <x:v>Analytics</x:v>
      </x:c>
      <x:c r="D4" s="12" t="str">
        <x:v>Closed Won</x:v>
      </x:c>
      <x:c r="E4" s="15" t="n">
        <x:v>145000</x:v>
      </x:c>
      <x:c r="F4" s="15" t="n">
        <x:v>102000</x:v>
      </x:c>
      <x:c r="G4" s="12" t="n">
        <x:v>1</x:v>
      </x:c>
    </x:row>
    <x:row r="5">
      <x:c r="A5" s="12" t="str">
        <x:v>REV-101</x:v>
      </x:c>
      <x:c r="B5" s="12" t="str">
        <x:v>South</x:v>
      </x:c>
      <x:c r="C5" s="12" t="str">
        <x:v>Analytics</x:v>
      </x:c>
      <x:c r="D5" s="12" t="str">
        <x:v>Closed Won</x:v>
      </x:c>
      <x:c r="E5" s="15" t="n">
        <x:v>132000</x:v>
      </x:c>
      <x:c r="F5" s="15" t="n">
        <x:v>88000</x:v>
      </x:c>
      <x:c r="G5" s="12" t="n">
        <x:v>1</x:v>
      </x:c>
    </x:row>
    <x:row r="6">
      <x:c r="A6" s="12" t="str">
        <x:v>REV-102</x:v>
      </x:c>
      <x:c r="B6" s="12" t="str">
        <x:v>East</x:v>
      </x:c>
      <x:c r="C6" s="12" t="str">
        <x:v>Platform</x:v>
      </x:c>
      <x:c r="D6" s="12" t="str">
        <x:v>Closed Won</x:v>
      </x:c>
      <x:c r="E6" s="15" t="n">
        <x:v>168000</x:v>
      </x:c>
      <x:c r="F6" s="15" t="n">
        <x:v>126000</x:v>
      </x:c>
      <x:c r="G6" s="12" t="n">
        <x:v>1</x:v>
      </x:c>
    </x:row>
    <x:row r="7">
      <x:c r="A7" s="12" t="str">
        <x:v>REV-103</x:v>
      </x:c>
      <x:c r="B7" s="12" t="str">
        <x:v>West</x:v>
      </x:c>
      <x:c r="C7" s="12" t="str">
        <x:v>Platform</x:v>
      </x:c>
      <x:c r="D7" s="12" t="str">
        <x:v>Pipeline</x:v>
      </x:c>
      <x:c r="E7" s="15" t="n">
        <x:v>98000</x:v>
      </x:c>
      <x:c r="F7" s="15" t="n">
        <x:v>0</x:v>
      </x:c>
      <x:c r="G7" s="12" t="n">
        <x:v>0</x:v>
      </x:c>
    </x:row>
    <x:row r="8">
      <x:c r="A8" s="12" t="str">
        <x:v>REV-104</x:v>
      </x:c>
      <x:c r="B8" s="12" t="str">
        <x:v>North</x:v>
      </x:c>
      <x:c r="C8" s="12" t="str">
        <x:v>Services</x:v>
      </x:c>
      <x:c r="D8" s="12" t="str">
        <x:v>Closed Won</x:v>
      </x:c>
      <x:c r="E8" s="15" t="n">
        <x:v>76000</x:v>
      </x:c>
      <x:c r="F8" s="15" t="n">
        <x:v>61000</x:v>
      </x:c>
      <x:c r="G8" s="12" t="n">
        <x:v>1</x:v>
      </x:c>
    </x:row>
    <x:row r="9">
      <x:c r="A9" s="12" t="str">
        <x:v>REV-105</x:v>
      </x:c>
      <x:c r="B9" s="12" t="str">
        <x:v>South</x:v>
      </x:c>
      <x:c r="C9" s="12" t="str">
        <x:v>Services</x:v>
      </x:c>
      <x:c r="D9" s="12" t="str">
        <x:v>Pipeline</x:v>
      </x:c>
      <x:c r="E9" s="15" t="n">
        <x:v>54000</x:v>
      </x:c>
      <x:c r="F9" s="15" t="n">
        <x:v>0</x:v>
      </x:c>
      <x:c r="G9" s="12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'Alternative_Control'!B4</x:f>
        <x:v>673000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f>'Alternative_Control'!B5</x:f>
        <x:v>377000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'Alternative_Control'!B6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'Alternative_Control'!B7</x:f>
        <x:v>88000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f>'Alternative_Control'!B8</x:f>
        <x:v>2</x:v>
      </x:c>
      <x:c r="C4" s="15" t="n">
        <x:f>'Alternative_Control'!C8</x:f>
        <x:v>163000</x:v>
      </x:c>
      <x:c r="D4" s="12" t="str">
        <x:v>Required</x:v>
      </x:c>
    </x:row>
    <x:row r="5">
      <x:c r="A5" s="12" t="str">
        <x:v>South</x:v>
      </x:c>
      <x:c r="B5" s="12" t="n">
        <x:f>'Alternative_Control'!B9</x:f>
        <x:v>2</x:v>
      </x:c>
      <x:c r="C5" s="15" t="n">
        <x:f>'Alternative_Control'!C9</x:f>
        <x:v>88000</x:v>
      </x:c>
      <x:c r="D5" s="12" t="str">
        <x:v>Required</x:v>
      </x:c>
    </x:row>
    <x:row r="6">
      <x:c r="A6" s="12" t="str">
        <x:v>East</x:v>
      </x:c>
      <x:c r="B6" s="12" t="n">
        <x:f>'Alternative_Control'!B10</x:f>
        <x:v>1</x:v>
      </x:c>
      <x:c r="C6" s="15" t="n">
        <x:f>'Alternative_Control'!C10</x:f>
        <x:v>126000</x:v>
      </x:c>
      <x:c r="D6" s="12" t="str">
        <x:v>Required</x:v>
      </x:c>
    </x:row>
    <x:row r="7">
      <x:c r="A7" s="12" t="str">
        <x:v>West</x:v>
      </x:c>
      <x:c r="B7" s="12" t="n">
        <x:f>'Alternative_Control'!B11</x:f>
        <x:v>1</x:v>
      </x:c>
      <x:c r="C7" s="15" t="n">
        <x:f>'Alternative_Control'!C11</x:f>
        <x:v>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1" hidden="0" customWidth="1"/>
    <x:col min="3" max="3" width="22" hidden="0" customWidth="1"/>
  </x:cols>
  <x:sheetData>
    <x:row r="1">
      <x:c r="A1" s="17" t="str">
        <x:v>Alternative KPI and Coverage Control</x:v>
      </x:c>
      <x:c r="B1" s="17"/>
      <x:c r="C1" s="17"/>
    </x:row>
    <x:row r="3">
      <x:c r="A3" s="30" t="str">
        <x:v>Metric / Region</x:v>
      </x:c>
      <x:c r="B3" s="30" t="str">
        <x:v>Record count / KPI</x:v>
      </x:c>
      <x:c r="C3" s="30" t="str">
        <x:v>Recognized revenue</x:v>
      </x:c>
    </x:row>
    <x:row r="4">
      <x:c r="A4" s="21" t="str">
        <x:v>Total bookings</x:v>
      </x:c>
      <x:c r="B4" s="31" t="n">
        <x:f>SUM('Consolidated_Data'!E4:E9)</x:f>
        <x:v>673000</x:v>
      </x:c>
      <x:c r="C4" s="23"/>
    </x:row>
    <x:row r="5">
      <x:c r="A5" s="24" t="str">
        <x:v>Total revenue</x:v>
      </x:c>
      <x:c r="B5" s="32" t="n">
        <x:f>SUM('Consolidated_Data'!F4:F9)</x:f>
        <x:v>377000</x:v>
      </x:c>
      <x:c r="C5" s="26"/>
    </x:row>
    <x:row r="6">
      <x:c r="A6" s="24" t="str">
        <x:v>Closed-won records</x:v>
      </x:c>
      <x:c r="B6" s="33" t="n">
        <x:f>SUM('Consolidated_Data'!G4:G9)</x:f>
        <x:v>4</x:v>
      </x:c>
      <x:c r="C6" s="26"/>
    </x:row>
    <x:row r="7">
      <x:c r="A7" s="24" t="str">
        <x:v>South revenue</x:v>
      </x:c>
      <x:c r="B7" s="32" t="n">
        <x:f>IF('Consolidated_Data'!B4="South",'Consolidated_Data'!F4,0)+IF('Consolidated_Data'!B5="South",'Consolidated_Data'!F5,0)+IF('Consolidated_Data'!B6="South",'Consolidated_Data'!F6,0)+IF('Consolidated_Data'!B7="South",'Consolidated_Data'!F7,0)+IF('Consolidated_Data'!B8="South",'Consolidated_Data'!F8,0)+IF('Consolidated_Data'!B9="South",'Consolidated_Data'!F9,0)</x:f>
        <x:v>88000</x:v>
      </x:c>
      <x:c r="C7" s="26"/>
    </x:row>
    <x:row r="8">
      <x:c r="A8" s="24" t="str">
        <x:v>North</x:v>
      </x:c>
      <x:c r="B8" s="33" t="n">
        <x:f>IF('Consolidated_Data'!B4="North",1,0)+IF('Consolidated_Data'!B5="North",1,0)+IF('Consolidated_Data'!B6="North",1,0)+IF('Consolidated_Data'!B7="North",1,0)+IF('Consolidated_Data'!B8="North",1,0)+IF('Consolidated_Data'!B9="North",1,0)</x:f>
        <x:v>2</x:v>
      </x:c>
      <x:c r="C8" s="35" t="n">
        <x:f>IF('Consolidated_Data'!B4="North",'Consolidated_Data'!F4,0)+IF('Consolidated_Data'!B5="North",'Consolidated_Data'!F5,0)+IF('Consolidated_Data'!B6="North",'Consolidated_Data'!F6,0)+IF('Consolidated_Data'!B7="North",'Consolidated_Data'!F7,0)+IF('Consolidated_Data'!B8="North",'Consolidated_Data'!F8,0)+IF('Consolidated_Data'!B9="North",'Consolidated_Data'!F9,0)</x:f>
        <x:v>163000</x:v>
      </x:c>
    </x:row>
    <x:row r="9">
      <x:c r="A9" s="24" t="str">
        <x:v>South</x:v>
      </x:c>
      <x:c r="B9" s="33" t="n">
        <x:f>IF('Consolidated_Data'!B4="South",1,0)+IF('Consolidated_Data'!B5="South",1,0)+IF('Consolidated_Data'!B6="South",1,0)+IF('Consolidated_Data'!B7="South",1,0)+IF('Consolidated_Data'!B8="South",1,0)+IF('Consolidated_Data'!B9="South",1,0)</x:f>
        <x:v>2</x:v>
      </x:c>
      <x:c r="C9" s="35" t="n">
        <x:f>IF('Consolidated_Data'!B4="South",'Consolidated_Data'!F4,0)+IF('Consolidated_Data'!B5="South",'Consolidated_Data'!F5,0)+IF('Consolidated_Data'!B6="South",'Consolidated_Data'!F6,0)+IF('Consolidated_Data'!B7="South",'Consolidated_Data'!F7,0)+IF('Consolidated_Data'!B8="South",'Consolidated_Data'!F8,0)+IF('Consolidated_Data'!B9="South",'Consolidated_Data'!F9,0)</x:f>
        <x:v>88000</x:v>
      </x:c>
    </x:row>
    <x:row r="10">
      <x:c r="A10" s="24" t="str">
        <x:v>East</x:v>
      </x:c>
      <x:c r="B10" s="33" t="n">
        <x:f>IF('Consolidated_Data'!B4="East",1,0)+IF('Consolidated_Data'!B5="East",1,0)+IF('Consolidated_Data'!B6="East",1,0)+IF('Consolidated_Data'!B7="East",1,0)+IF('Consolidated_Data'!B8="East",1,0)+IF('Consolidated_Data'!B9="East",1,0)</x:f>
        <x:v>1</x:v>
      </x:c>
      <x:c r="C10" s="35" t="n">
        <x:f>IF('Consolidated_Data'!B4="East",'Consolidated_Data'!F4,0)+IF('Consolidated_Data'!B5="East",'Consolidated_Data'!F5,0)+IF('Consolidated_Data'!B6="East",'Consolidated_Data'!F6,0)+IF('Consolidated_Data'!B7="East",'Consolidated_Data'!F7,0)+IF('Consolidated_Data'!B8="East",'Consolidated_Data'!F8,0)+IF('Consolidated_Data'!B9="East",'Consolidated_Data'!F9,0)</x:f>
        <x:v>126000</x:v>
      </x:c>
    </x:row>
    <x:row r="11">
      <x:c r="A11" s="27" t="str">
        <x:v>West</x:v>
      </x:c>
      <x:c r="B11" s="34" t="n">
        <x:f>IF('Consolidated_Data'!B4="West",1,0)+IF('Consolidated_Data'!B5="West",1,0)+IF('Consolidated_Data'!B6="West",1,0)+IF('Consolidated_Data'!B7="West",1,0)+IF('Consolidated_Data'!B8="West",1,0)+IF('Consolidated_Data'!B9="West",1,0)</x:f>
        <x:v>1</x:v>
      </x:c>
      <x:c r="C11" s="36" t="n">
        <x:f>IF('Consolidated_Data'!B4="West",'Consolidated_Data'!F4,0)+IF('Consolidated_Data'!B5="West",'Consolidated_Data'!F5,0)+IF('Consolidated_Data'!B6="West",'Consolidated_Data'!F6,0)+IF('Consolidated_Data'!B7="West",'Consolidated_Data'!F7,0)+IF('Consolidated_Data'!B8="West",'Consolidated_Data'!F8,0)+IF('Consolidated_Data'!B9="West",'Consolidated_Data'!F9,0)</x:f>
        <x:v>0</x:v>
      </x:c>
    </x:row>
  </x:sheetData>
  <x:mergeCells>
    <x:mergeCell ref="A1:C1"/>
  </x:mergeCells>
  <x:pageMargins left="0.7" right="0.7" top="0.75" bottom="0.75" header="0.3" footer="0.3"/>
</x:worksheet>
</file>