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a7e233bde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291d6523cf6b46a1"/>
    <x:sheet xmlns:r="http://schemas.openxmlformats.org/officeDocument/2006/relationships" name="Selected_Sources" sheetId="2" r:id="R9264865fcb8a4921"/>
    <x:sheet xmlns:r="http://schemas.openxmlformats.org/officeDocument/2006/relationships" name="Consolidated_Data" sheetId="3" r:id="R534b5a9a7e864b51"/>
    <x:sheet xmlns:r="http://schemas.openxmlformats.org/officeDocument/2006/relationships" name="KPI_Summary" sheetId="4" r:id="R762c4dade09041db"/>
    <x:sheet xmlns:r="http://schemas.openxmlformats.org/officeDocument/2006/relationships" name="Coverage_Checks" sheetId="5" r:id="Re87be8de1304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5fdbe56dc4973" /><Relationship Type="http://schemas.openxmlformats.org/officeDocument/2006/relationships/theme" Target="/xl/theme/theme1.xml" Id="R94cfd557f5bd4c31" /><Relationship Type="http://schemas.openxmlformats.org/officeDocument/2006/relationships/sharedStrings" Target="/xl/sharedStrings.xml" Id="R370167c60ce94d38" /><Relationship Type="http://schemas.openxmlformats.org/officeDocument/2006/relationships/worksheet" Target="/xl/worksheets/sheet1.xml" Id="R291d6523cf6b46a1" /><Relationship Type="http://schemas.openxmlformats.org/officeDocument/2006/relationships/worksheet" Target="/xl/worksheets/sheet2.xml" Id="R9264865fcb8a4921" /><Relationship Type="http://schemas.openxmlformats.org/officeDocument/2006/relationships/worksheet" Target="/xl/worksheets/sheet3.xml" Id="R534b5a9a7e864b51" /><Relationship Type="http://schemas.openxmlformats.org/officeDocument/2006/relationships/worksheet" Target="/xl/worksheets/sheet4.xml" Id="R762c4dade09041db" /><Relationship Type="http://schemas.openxmlformats.org/officeDocument/2006/relationships/worksheet" Target="/xl/worksheets/sheet5.xml" Id="Re87be8de1304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RLS-2024Q1-014</x:v>
      </x:c>
      <x:c r="B4" s="12" t="str">
        <x:v>revenue_q1_final.csv</x:v>
      </x:c>
      <x:c r="C4" s="12" t="str">
        <x:v>2024Q1</x:v>
      </x:c>
      <x:c r="D4" s="12" t="str">
        <x:v>2024-05-01</x:v>
      </x:c>
      <x:c r="E4" s="12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RLS-2024Q2-011</x:v>
      </x:c>
      <x:c r="B5" s="12" t="str">
        <x:v>revenue_q2_draft.csv</x:v>
      </x:c>
      <x:c r="C5" s="12" t="str">
        <x:v>2024Q2</x:v>
      </x:c>
      <x:c r="D5" s="12" t="str">
        <x:v>2024-07-18</x:v>
      </x:c>
      <x:c r="E5" s="12"/>
      <x:c r="F5" s="12" t="str">
        <x:v>1.0</x:v>
      </x:c>
      <x:c r="G5" s="12" t="str">
        <x:v>incomplete</x:v>
      </x:c>
      <x:c r="H5" s="12" t="str">
        <x:v>Superseded and incomplete coverage</x:v>
      </x:c>
    </x:row>
    <x:row r="6">
      <x:c r="A6" s="12" t="str">
        <x:v>RLS-2024Q2-012</x:v>
      </x:c>
      <x:c r="B6" s="12" t="str">
        <x:v>revenue_q2_corrected.csv</x:v>
      </x:c>
      <x:c r="C6" s="12" t="str">
        <x:v>2024Q2</x:v>
      </x:c>
      <x:c r="D6" s="12" t="str">
        <x:v>2024-08-09</x:v>
      </x:c>
      <x:c r="E6" s="12" t="str">
        <x:v>RLS-2024Q2-011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RLS-2024Q2-013</x:v>
      </x:c>
      <x:c r="B7" s="12" t="str">
        <x:v>revenue_q2_test_schema.csv</x:v>
      </x:c>
      <x:c r="C7" s="12" t="str">
        <x:v>2024Q2</x:v>
      </x:c>
      <x:c r="D7" s="12" t="str">
        <x:v>2024-08-12</x:v>
      </x:c>
      <x:c r="E7" s="12" t="str">
        <x:v>RLS-2024Q2-012</x:v>
      </x:c>
      <x:c r="F7" s="12" t="str">
        <x:v>2.1-pilot</x:v>
      </x:c>
      <x:c r="G7" s="12" t="str">
        <x:v>partial</x:v>
      </x:c>
      <x:c r="H7" s="12" t="str">
        <x:v>Pilot schema is not approved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 t="str">
        <x:v>RLS-2024Q2-012</x:v>
      </x:c>
      <x:c r="B4" s="12" t="str">
        <x:v>revenue_q2_corrected.csv</x:v>
      </x:c>
      <x:c r="C4" s="12" t="str">
        <x:v>2024Q2</x:v>
      </x:c>
      <x:c r="D4" s="12" t="str">
        <x:v>complete</x:v>
      </x:c>
      <x:c r="E4" s="12" t="str">
        <x:v>Latest approved complete release for the requested period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 t="str">
        <x:v>CNF-210</x:v>
      </x:c>
      <x:c r="B4" s="12" t="str">
        <x:v>North</x:v>
      </x:c>
      <x:c r="C4" s="12" t="str">
        <x:v>Cloud Operations</x:v>
      </x:c>
      <x:c r="D4" s="12" t="str">
        <x:v>Closed Won</x:v>
      </x:c>
      <x:c r="E4" s="15" t="n">
        <x:v>215000</x:v>
      </x:c>
      <x:c r="F4" s="15" t="n">
        <x:v>172000</x:v>
      </x:c>
      <x:c r="G4" s="12" t="n">
        <x:v>1</x:v>
      </x:c>
    </x:row>
    <x:row r="5">
      <x:c r="A5" s="12" t="str">
        <x:v>CNF-211</x:v>
      </x:c>
      <x:c r="B5" s="12" t="str">
        <x:v>South</x:v>
      </x:c>
      <x:c r="C5" s="12" t="str">
        <x:v>Advisory Services</x:v>
      </x:c>
      <x:c r="D5" s="12" t="str">
        <x:v>Closed Won</x:v>
      </x:c>
      <x:c r="E5" s="15" t="n">
        <x:v>187500</x:v>
      </x:c>
      <x:c r="F5" s="15" t="n">
        <x:v>149500</x:v>
      </x:c>
      <x:c r="G5" s="12" t="n">
        <x:v>1</x:v>
      </x:c>
    </x:row>
    <x:row r="6">
      <x:c r="A6" s="12" t="str">
        <x:v>CNF-212</x:v>
      </x:c>
      <x:c r="B6" s="12" t="str">
        <x:v>East</x:v>
      </x:c>
      <x:c r="C6" s="12" t="str">
        <x:v>Security Platform</x:v>
      </x:c>
      <x:c r="D6" s="12" t="str">
        <x:v>Pipeline</x:v>
      </x:c>
      <x:c r="E6" s="15" t="n">
        <x:v>120000</x:v>
      </x:c>
      <x:c r="F6" s="15" t="n">
        <x:v>0</x:v>
      </x:c>
      <x:c r="G6" s="12" t="n">
        <x:v>0</x:v>
      </x:c>
    </x:row>
    <x:row r="7">
      <x:c r="A7" s="12" t="str">
        <x:v>CNF-213</x:v>
      </x:c>
      <x:c r="B7" s="12" t="str">
        <x:v>West</x:v>
      </x:c>
      <x:c r="C7" s="12" t="str">
        <x:v>Cloud Operations</x:v>
      </x:c>
      <x:c r="D7" s="12" t="str">
        <x:v>Closed Won</x:v>
      </x:c>
      <x:c r="E7" s="15" t="n">
        <x:v>240000</x:v>
      </x:c>
      <x:c r="F7" s="15" t="n">
        <x:v>198000</x:v>
      </x:c>
      <x:c r="G7" s="12" t="n">
        <x:v>1</x:v>
      </x:c>
    </x:row>
    <x:row r="8">
      <x:c r="A8" s="12" t="str">
        <x:v>CNF-214</x:v>
      </x:c>
      <x:c r="B8" s="12" t="str">
        <x:v>East</x:v>
      </x:c>
      <x:c r="C8" s="12" t="str">
        <x:v>Advisory Services</x:v>
      </x:c>
      <x:c r="D8" s="12" t="str">
        <x:v>Closed Won</x:v>
      </x:c>
      <x:c r="E8" s="15" t="n">
        <x:v>98000</x:v>
      </x:c>
      <x:c r="F8" s="15" t="n">
        <x:v>83500</x:v>
      </x:c>
      <x:c r="G8" s="12" t="n">
        <x:v>1</x:v>
      </x:c>
    </x:row>
    <x:row r="9">
      <x:c r="A9" s="12" t="str">
        <x:v>CNF-215</x:v>
      </x:c>
      <x:c r="B9" s="12" t="str">
        <x:v>West</x:v>
      </x:c>
      <x:c r="C9" s="12" t="str">
        <x:v>Security Platform</x:v>
      </x:c>
      <x:c r="D9" s="12" t="str">
        <x:v>Pipeline</x:v>
      </x:c>
      <x:c r="E9" s="15" t="n">
        <x:v>73000</x:v>
      </x:c>
      <x:c r="F9" s="15" t="n">
        <x:v>0</x:v>
      </x:c>
      <x:c r="G9" s="12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 t="n">
        <x:f>SUM('Consolidated_Data'!E4:E9)</x:f>
        <x:v>933500</x:v>
      </x:c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 t="n">
        <x:f>SUM('Consolidated_Data'!F4:F9)</x:f>
        <x:v>603000</x:v>
      </x:c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 t="n">
        <x:f>SUM('Consolidated_Data'!G4:G9)</x:f>
        <x:v>4</x:v>
      </x:c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 t="n">
        <x:f>'Consolidated_Data'!F5+'Consolidated_Data'!F9</x:f>
        <x:v>149500</x:v>
      </x:c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 t="n">
        <x:f>IF('Consolidated_Data'!B4=A4,1,0)+IF('Consolidated_Data'!B5=A4,1,0)+IF('Consolidated_Data'!B6=A4,1,0)+IF('Consolidated_Data'!B7=A4,1,0)+IF('Consolidated_Data'!B8=A4,1,0)+IF('Consolidated_Data'!B9=A4,1,0)</x:f>
        <x:v>1</x:v>
      </x:c>
      <x:c r="C4" s="15" t="n">
        <x:f>IF('Consolidated_Data'!B4=A4,'Consolidated_Data'!F4,0)+IF('Consolidated_Data'!B5=A4,'Consolidated_Data'!F5,0)+IF('Consolidated_Data'!B6=A4,'Consolidated_Data'!F6,0)+IF('Consolidated_Data'!B7=A4,'Consolidated_Data'!F7,0)+IF('Consolidated_Data'!B8=A4,'Consolidated_Data'!F8,0)+IF('Consolidated_Data'!B9=A4,'Consolidated_Data'!F9,0)</x:f>
        <x:v>172000</x:v>
      </x:c>
      <x:c r="D4" s="12" t="str">
        <x:v>Required</x:v>
      </x:c>
    </x:row>
    <x:row r="5">
      <x:c r="A5" s="12" t="str">
        <x:v>South</x:v>
      </x:c>
      <x:c r="B5" s="12" t="n">
        <x:f>IF('Consolidated_Data'!B4=A5,1,0)+IF('Consolidated_Data'!B5=A5,1,0)+IF('Consolidated_Data'!B6=A5,1,0)+IF('Consolidated_Data'!B7=A5,1,0)+IF('Consolidated_Data'!B8=A5,1,0)+IF('Consolidated_Data'!B9=A5,1,0)</x:f>
        <x:v>1</x:v>
      </x:c>
      <x:c r="C5" s="15" t="n">
        <x:f>IF('Consolidated_Data'!B4=A5,'Consolidated_Data'!F4,0)+IF('Consolidated_Data'!B5=A5,'Consolidated_Data'!F5,0)+IF('Consolidated_Data'!B6=A5,'Consolidated_Data'!F6,0)+IF('Consolidated_Data'!B7=A5,'Consolidated_Data'!F7,0)+IF('Consolidated_Data'!B8=A5,'Consolidated_Data'!F8,0)+IF('Consolidated_Data'!B9=A5,'Consolidated_Data'!F9,0)</x:f>
        <x:v>149500</x:v>
      </x:c>
      <x:c r="D5" s="12" t="str">
        <x:v>Required</x:v>
      </x:c>
    </x:row>
    <x:row r="6">
      <x:c r="A6" s="12" t="str">
        <x:v>East</x:v>
      </x:c>
      <x:c r="B6" s="12" t="n">
        <x:f>IF('Consolidated_Data'!B4=A6,1,0)+IF('Consolidated_Data'!B5=A6,1,0)+IF('Consolidated_Data'!B6=A6,1,0)+IF('Consolidated_Data'!B7=A6,1,0)+IF('Consolidated_Data'!B8=A6,1,0)+IF('Consolidated_Data'!B9=A6,1,0)</x:f>
        <x:v>2</x:v>
      </x:c>
      <x:c r="C6" s="15" t="n">
        <x:f>IF('Consolidated_Data'!B4=A6,'Consolidated_Data'!F4,0)+IF('Consolidated_Data'!B5=A6,'Consolidated_Data'!F5,0)+IF('Consolidated_Data'!B6=A6,'Consolidated_Data'!F6,0)+IF('Consolidated_Data'!B7=A6,'Consolidated_Data'!F7,0)+IF('Consolidated_Data'!B8=A6,'Consolidated_Data'!F8,0)+IF('Consolidated_Data'!B9=A6,'Consolidated_Data'!F9,0)</x:f>
        <x:v>83500</x:v>
      </x:c>
      <x:c r="D6" s="12" t="str">
        <x:v>Required</x:v>
      </x:c>
    </x:row>
    <x:row r="7">
      <x:c r="A7" s="12" t="str">
        <x:v>West</x:v>
      </x:c>
      <x:c r="B7" s="12" t="n">
        <x:f>IF('Consolidated_Data'!B4=A7,1,0)+IF('Consolidated_Data'!B5=A7,1,0)+IF('Consolidated_Data'!B6=A7,1,0)+IF('Consolidated_Data'!B7=A7,1,0)+IF('Consolidated_Data'!B8=A7,1,0)+IF('Consolidated_Data'!B9=A7,1,0)</x:f>
        <x:v>2</x:v>
      </x:c>
      <x:c r="C7" s="15" t="n">
        <x:f>IF('Consolidated_Data'!B4=A7,'Consolidated_Data'!F4,0)+IF('Consolidated_Data'!B5=A7,'Consolidated_Data'!F5,0)+IF('Consolidated_Data'!B6=A7,'Consolidated_Data'!F6,0)+IF('Consolidated_Data'!B7=A7,'Consolidated_Data'!F7,0)+IF('Consolidated_Data'!B8=A7,'Consolidated_Data'!F8,0)+IF('Consolidated_Data'!B9=A7,'Consolidated_Data'!F9,0)</x:f>
        <x:v>198000</x:v>
      </x:c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