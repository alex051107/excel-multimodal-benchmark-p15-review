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c2e3854af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f0aba4853b904204"/>
    <x:sheet xmlns:r="http://schemas.openxmlformats.org/officeDocument/2006/relationships" name="Transactions" sheetId="2" r:id="R380bc4094d31426a"/>
    <x:sheet xmlns:r="http://schemas.openxmlformats.org/officeDocument/2006/relationships" name="Categories" sheetId="3" r:id="Rba659bcf9b684e48"/>
    <x:sheet xmlns:r="http://schemas.openxmlformats.org/officeDocument/2006/relationships" name="Provenance" sheetId="4" r:id="R916823f2dfc24ab3"/>
    <x:sheet xmlns:r="http://schemas.openxmlformats.org/officeDocument/2006/relationships" name="Reconciliation" sheetId="5" r:id="R79100de5e7284c7e"/>
    <x:sheet xmlns:r="http://schemas.openxmlformats.org/officeDocument/2006/relationships" name="Checks" sheetId="6" r:id="R1c9ca37aec1f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289d14ad74522" /><Relationship Type="http://schemas.openxmlformats.org/officeDocument/2006/relationships/theme" Target="/xl/theme/theme1.xml" Id="Rbf70d1852b694970" /><Relationship Type="http://schemas.openxmlformats.org/officeDocument/2006/relationships/sharedStrings" Target="/xl/sharedStrings.xml" Id="R26ee57a7de3247eb" /><Relationship Type="http://schemas.openxmlformats.org/officeDocument/2006/relationships/worksheet" Target="/xl/worksheets/sheet1.xml" Id="Rf0aba4853b904204" /><Relationship Type="http://schemas.openxmlformats.org/officeDocument/2006/relationships/worksheet" Target="/xl/worksheets/sheet2.xml" Id="R380bc4094d31426a" /><Relationship Type="http://schemas.openxmlformats.org/officeDocument/2006/relationships/worksheet" Target="/xl/worksheets/sheet3.xml" Id="Rba659bcf9b684e48" /><Relationship Type="http://schemas.openxmlformats.org/officeDocument/2006/relationships/worksheet" Target="/xl/worksheets/sheet4.xml" Id="R916823f2dfc24ab3" /><Relationship Type="http://schemas.openxmlformats.org/officeDocument/2006/relationships/worksheet" Target="/xl/worksheets/sheet5.xml" Id="R79100de5e7284c7e" /><Relationship Type="http://schemas.openxmlformats.org/officeDocument/2006/relationships/worksheet" Target="/xl/worksheets/sheet6.xml" Id="R1c9ca37aec1f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Summit Cooperative Bank</x:v>
      </x:c>
      <x:c r="C4" s="15"/>
    </x:row>
    <x:row r="5">
      <x:c r="A5" s="12" t="str">
        <x:v>Account ending</x:v>
      </x:c>
      <x:c r="B5" s="12" t="str">
        <x:v>7316</x:v>
      </x:c>
      <x:c r="C5" s="15"/>
    </x:row>
    <x:row r="6">
      <x:c r="A6" s="12" t="str">
        <x:v>Period start</x:v>
      </x:c>
      <x:c r="B6" s="12" t="str">
        <x:v>2026-07-01</x:v>
      </x:c>
      <x:c r="C6" s="15"/>
    </x:row>
    <x:row r="7">
      <x:c r="A7" s="12" t="str">
        <x:v>Period end</x:v>
      </x:c>
      <x:c r="B7" s="12" t="str">
        <x:v>2026-07-31</x:v>
      </x:c>
      <x:c r="C7" s="15"/>
    </x:row>
    <x:row r="8">
      <x:c r="A8" s="12" t="str">
        <x:v>Opening balance</x:v>
      </x:c>
      <x:c r="B8" s="13" t="n">
        <x:v>9200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CTX-01</x:v>
      </x:c>
      <x:c r="B4" s="12" t="str">
        <x:v>2026-07-03</x:v>
      </x:c>
      <x:c r="C4" s="12" t="str">
        <x:v>Client ACH receipt</x:v>
      </x:c>
      <x:c r="D4" s="13" t="n">
        <x:v>0</x:v>
      </x:c>
      <x:c r="E4" s="13" t="n">
        <x:v>1500</x:v>
      </x:c>
      <x:c r="F4" s="13" t="n">
        <x:f>E4-D4</x:f>
        <x:v>1500</x:v>
      </x:c>
      <x:c r="G4" s="12" t="n">
        <x:v>1</x:v>
      </x:c>
      <x:c r="H4" s="12" t="str">
        <x:v>Customer receipts</x:v>
      </x:c>
    </x:row>
    <x:row r="5">
      <x:c r="A5" s="12" t="str">
        <x:v>CTX-02</x:v>
      </x:c>
      <x:c r="B5" s="12" t="str">
        <x:v>2026-07-07</x:v>
      </x:c>
      <x:c r="C5" s="12" t="str">
        <x:v>Instrument purchase</x:v>
      </x:c>
      <x:c r="D5" s="13" t="n">
        <x:v>980</x:v>
      </x:c>
      <x:c r="E5" s="13" t="n">
        <x:v>0</x:v>
      </x:c>
      <x:c r="F5" s="13" t="n">
        <x:f>E5-D5</x:f>
        <x:v>-980</x:v>
      </x:c>
      <x:c r="G5" s="12" t="n">
        <x:v>1</x:v>
      </x:c>
      <x:c r="H5" s="12" t="str">
        <x:v>Equipment</x:v>
      </x:c>
    </x:row>
    <x:row r="6">
      <x:c r="A6" s="12" t="str">
        <x:v>CTX-03</x:v>
      </x:c>
      <x:c r="B6" s="12" t="str">
        <x:v>2026-07-15</x:v>
      </x:c>
      <x:c r="C6" s="12" t="str">
        <x:v>Service receipt</x:v>
      </x:c>
      <x:c r="D6" s="13" t="n">
        <x:v>0</x:v>
      </x:c>
      <x:c r="E6" s="13" t="n">
        <x:v>1250</x:v>
      </x:c>
      <x:c r="F6" s="13" t="n">
        <x:f>E6-D6</x:f>
        <x:v>1250</x:v>
      </x:c>
      <x:c r="G6" s="12" t="n">
        <x:v>1</x:v>
      </x:c>
      <x:c r="H6" s="12" t="str">
        <x:v>Customer receipts</x:v>
      </x:c>
    </x:row>
    <x:row r="7">
      <x:c r="A7" s="12" t="str">
        <x:v>CTX-04</x:v>
      </x:c>
      <x:c r="B7" s="12" t="str">
        <x:v>2026-07-22</x:v>
      </x:c>
      <x:c r="C7" s="12" t="str">
        <x:v>Lodging expense</x:v>
      </x:c>
      <x:c r="D7" s="13" t="n">
        <x:v>740</x:v>
      </x:c>
      <x:c r="E7" s="13" t="n">
        <x:v>0</x:v>
      </x:c>
      <x:c r="F7" s="13" t="n">
        <x:f>E7-D7</x:f>
        <x:v>-740</x:v>
      </x:c>
      <x:c r="G7" s="12" t="n">
        <x:v>2</x:v>
      </x:c>
      <x:c r="H7" s="12" t="str">
        <x:v>Travel</x:v>
      </x:c>
    </x:row>
    <x:row r="8">
      <x:c r="A8" s="12" t="str">
        <x:v>CTX-05</x:v>
      </x:c>
      <x:c r="B8" s="12" t="str">
        <x:v>2026-07-30</x:v>
      </x:c>
      <x:c r="C8" s="12" t="str">
        <x:v>Account service fee</x:v>
      </x:c>
      <x:c r="D8" s="13" t="n">
        <x:v>35</x:v>
      </x:c>
      <x:c r="E8" s="13" t="n">
        <x:v>0</x:v>
      </x:c>
      <x:c r="F8" s="13" t="n">
        <x:f>E8-D8</x:f>
        <x:v>-35</x:v>
      </x:c>
      <x:c r="G8" s="12" t="n">
        <x:v>2</x:v>
      </x:c>
      <x:c r="H8" s="12" t="str">
        <x:v>Bank fees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2750</x:v>
      </x:c>
      <x:c r="C4" s="12" t="str">
        <x:v>CTX-01 + CTX-03</x:v>
      </x:c>
    </x:row>
    <x:row r="5">
      <x:c r="A5" s="12" t="str">
        <x:v>Equipment</x:v>
      </x:c>
      <x:c r="B5" s="13" t="n">
        <x:f>'Transactions'!F5</x:f>
        <x:v>-980</x:v>
      </x:c>
      <x:c r="C5" s="12" t="str">
        <x:v>CTX-02</x:v>
      </x:c>
    </x:row>
    <x:row r="6">
      <x:c r="A6" s="12" t="str">
        <x:v>Travel and fees</x:v>
      </x:c>
      <x:c r="B6" s="13" t="n">
        <x:f>'Transactions'!F7+'Transactions'!F8</x:f>
        <x:v>-775</x:v>
      </x:c>
      <x:c r="C6" s="12" t="str">
        <x:v>CTX-04 + CTX-05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CTX-01</x:v>
      </x:c>
      <x:c r="B4" s="12" t="str">
        <x:v>confirm_statement_multipage.pdf</x:v>
      </x:c>
      <x:c r="C4" s="12" t="n">
        <x:v>1</x:v>
      </x:c>
      <x:c r="D4" s="12" t="str">
        <x:v>confirm_statement_multipage.pdf:p1:client-ach</x:v>
      </x:c>
      <x:c r="E4" s="12" t="str">
        <x:v>Transactions!4</x:v>
      </x:c>
    </x:row>
    <x:row r="5">
      <x:c r="A5" s="12" t="str">
        <x:v>CTX-02</x:v>
      </x:c>
      <x:c r="B5" s="12" t="str">
        <x:v>confirm_statement_multipage.pdf</x:v>
      </x:c>
      <x:c r="C5" s="12" t="n">
        <x:v>1</x:v>
      </x:c>
      <x:c r="D5" s="12" t="str">
        <x:v>confirm_statement_multipage.pdf:p1:instrument-purchase</x:v>
      </x:c>
      <x:c r="E5" s="12" t="str">
        <x:v>Transactions!5</x:v>
      </x:c>
    </x:row>
    <x:row r="6">
      <x:c r="A6" s="12" t="str">
        <x:v>CTX-03</x:v>
      </x:c>
      <x:c r="B6" s="12" t="str">
        <x:v>confirm_statement_multipage.pdf</x:v>
      </x:c>
      <x:c r="C6" s="12" t="n">
        <x:v>1</x:v>
      </x:c>
      <x:c r="D6" s="12" t="str">
        <x:v>confirm_statement_multipage.pdf:p1:service-receipt</x:v>
      </x:c>
      <x:c r="E6" s="12" t="str">
        <x:v>Transactions!6</x:v>
      </x:c>
    </x:row>
    <x:row r="7">
      <x:c r="A7" s="12" t="str">
        <x:v>CTX-04</x:v>
      </x:c>
      <x:c r="B7" s="12" t="str">
        <x:v>confirm_statement_multipage.pdf</x:v>
      </x:c>
      <x:c r="C7" s="12" t="n">
        <x:v>2</x:v>
      </x:c>
      <x:c r="D7" s="12" t="str">
        <x:v>confirm_statement_multipage.pdf:p2:lodging</x:v>
      </x:c>
      <x:c r="E7" s="12" t="str">
        <x:v>Transactions!7</x:v>
      </x:c>
    </x:row>
    <x:row r="8">
      <x:c r="A8" s="12" t="str">
        <x:v>CTX-05</x:v>
      </x:c>
      <x:c r="B8" s="12" t="str">
        <x:v>confirm_statement_multipage.pdf</x:v>
      </x:c>
      <x:c r="C8" s="12" t="n">
        <x:v>2</x:v>
      </x:c>
      <x:c r="D8" s="12" t="str">
        <x:v>confirm_statement_multipage.pdf:p2:service-fee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9200</x:v>
      </x:c>
      <x:c r="C4" s="13" t="n">
        <x:v>9200</x:v>
      </x:c>
      <x:c r="D4" s="12" t="str">
        <x:v>Statement header</x:v>
      </x:c>
    </x:row>
    <x:row r="5">
      <x:c r="A5" s="12" t="str">
        <x:v>Credits</x:v>
      </x:c>
      <x:c r="B5" s="13" t="n">
        <x:f>SUM('Transactions'!E4:E8)</x:f>
        <x:v>2750</x:v>
      </x:c>
      <x:c r="C5" s="13" t="n">
        <x:v>2750</x:v>
      </x:c>
      <x:c r="D5" s="12" t="str">
        <x:v>Customer receipts</x:v>
      </x:c>
    </x:row>
    <x:row r="6">
      <x:c r="A6" s="12" t="str">
        <x:v>Debits</x:v>
      </x:c>
      <x:c r="B6" s="13" t="n">
        <x:f>SUM('Transactions'!D4:D8)</x:f>
        <x:v>1755</x:v>
      </x:c>
      <x:c r="C6" s="13" t="n">
        <x:v>1755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B4+B5-B6</x:f>
        <x:v>10195</x:v>
      </x:c>
      <x:c r="C7" s="13" t="n">
        <x:v>10195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10195</x:v>
      </x:c>
      <x:c r="C8" s="13" t="n">
        <x:v>10195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PASS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