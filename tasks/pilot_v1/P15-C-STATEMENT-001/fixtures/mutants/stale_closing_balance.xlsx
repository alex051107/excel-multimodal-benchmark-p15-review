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07f2ff0f849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_Header" sheetId="1" r:id="R6af00a63a1f24c5b"/>
    <x:sheet xmlns:r="http://schemas.openxmlformats.org/officeDocument/2006/relationships" name="Transactions" sheetId="2" r:id="Rc53b1b0052da4846"/>
    <x:sheet xmlns:r="http://schemas.openxmlformats.org/officeDocument/2006/relationships" name="Categories" sheetId="3" r:id="R2b0d14d89aab48c7"/>
    <x:sheet xmlns:r="http://schemas.openxmlformats.org/officeDocument/2006/relationships" name="Provenance" sheetId="4" r:id="R5d25f7e950034e20"/>
    <x:sheet xmlns:r="http://schemas.openxmlformats.org/officeDocument/2006/relationships" name="Reconciliation" sheetId="5" r:id="Rffca2c81ad304824"/>
    <x:sheet xmlns:r="http://schemas.openxmlformats.org/officeDocument/2006/relationships" name="Checks" sheetId="6" r:id="R952abe09af9649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67efe768340cd" /><Relationship Type="http://schemas.openxmlformats.org/officeDocument/2006/relationships/theme" Target="/xl/theme/theme1.xml" Id="R1e92b1ecd8ea4cfe" /><Relationship Type="http://schemas.openxmlformats.org/officeDocument/2006/relationships/sharedStrings" Target="/xl/sharedStrings.xml" Id="R17265632c17e41f3" /><Relationship Type="http://schemas.openxmlformats.org/officeDocument/2006/relationships/worksheet" Target="/xl/worksheets/sheet1.xml" Id="R6af00a63a1f24c5b" /><Relationship Type="http://schemas.openxmlformats.org/officeDocument/2006/relationships/worksheet" Target="/xl/worksheets/sheet2.xml" Id="Rc53b1b0052da4846" /><Relationship Type="http://schemas.openxmlformats.org/officeDocument/2006/relationships/worksheet" Target="/xl/worksheets/sheet3.xml" Id="R2b0d14d89aab48c7" /><Relationship Type="http://schemas.openxmlformats.org/officeDocument/2006/relationships/worksheet" Target="/xl/worksheets/sheet4.xml" Id="R5d25f7e950034e20" /><Relationship Type="http://schemas.openxmlformats.org/officeDocument/2006/relationships/worksheet" Target="/xl/worksheets/sheet5.xml" Id="Rffca2c81ad304824" /><Relationship Type="http://schemas.openxmlformats.org/officeDocument/2006/relationships/worksheet" Target="/xl/worksheets/sheet6.xml" Id="R952abe09af9649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7" hidden="0" customWidth="1"/>
    <x:col min="3" max="3" width="20" hidden="0" customWidth="1"/>
  </x:cols>
  <x:sheetData>
    <x:row r="1" ht="26" customHeight="1">
      <x:c r="A1" s="14" t="str">
        <x:v>Bank Statement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Bank</x:v>
      </x:c>
      <x:c r="B4" s="12" t="str">
        <x:v>Harbor Community Bank</x:v>
      </x:c>
      <x:c r="C4" s="15"/>
    </x:row>
    <x:row r="5">
      <x:c r="A5" s="12" t="str">
        <x:v>Account ending</x:v>
      </x:c>
      <x:c r="B5" s="12" t="str">
        <x:v>4821</x:v>
      </x:c>
      <x:c r="C5" s="15"/>
    </x:row>
    <x:row r="6">
      <x:c r="A6" s="12" t="str">
        <x:v>Period start</x:v>
      </x:c>
      <x:c r="B6" s="12" t="str">
        <x:v>2026-06-01</x:v>
      </x:c>
      <x:c r="C6" s="15"/>
    </x:row>
    <x:row r="7">
      <x:c r="A7" s="12" t="str">
        <x:v>Period end</x:v>
      </x:c>
      <x:c r="B7" s="12" t="str">
        <x:v>2026-06-30</x:v>
      </x:c>
      <x:c r="C7" s="15"/>
    </x:row>
    <x:row r="8">
      <x:c r="A8" s="12" t="str">
        <x:v>Opening balance</x:v>
      </x:c>
      <x:c r="B8" s="13" t="n">
        <x:v>8100</x:v>
      </x:c>
      <x:c r="C8" s="15"/>
    </x:row>
    <x:row r="9">
      <x:c r="A9" s="12" t="str">
        <x:v>Currency</x:v>
      </x:c>
      <x:c r="B9" s="12" t="str">
        <x:v>USD</x:v>
      </x:c>
      <x:c r="C9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8" hidden="0" customWidth="1"/>
    <x:col min="4" max="4" width="15" hidden="0" customWidth="1"/>
    <x:col min="5" max="5" width="15" hidden="0" customWidth="1"/>
    <x:col min="6" max="6" width="18" hidden="0" customWidth="1"/>
    <x:col min="7" max="7" width="12" hidden="0" customWidth="1"/>
    <x:col min="8" max="8" width="24" hidden="0" customWidth="1"/>
  </x:cols>
  <x:sheetData>
    <x:row r="1" ht="26" customHeight="1">
      <x:c r="A1" s="14" t="str">
        <x:v>Statement Transaction Extraction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Transaction ID</x:v>
      </x:c>
      <x:c r="B3" s="9" t="str">
        <x:v>Date</x:v>
      </x:c>
      <x:c r="C3" s="9" t="str">
        <x:v>Description</x:v>
      </x:c>
      <x:c r="D3" s="9" t="str">
        <x:v>Debit</x:v>
      </x:c>
      <x:c r="E3" s="9" t="str">
        <x:v>Credit</x:v>
      </x:c>
      <x:c r="F3" s="9" t="str">
        <x:v>Net impact</x:v>
      </x:c>
      <x:c r="G3" s="9" t="str">
        <x:v>Page</x:v>
      </x:c>
      <x:c r="H3" s="9" t="str">
        <x:v>Category</x:v>
      </x:c>
    </x:row>
    <x:row r="4">
      <x:c r="A4" s="12" t="str">
        <x:v>TX-001</x:v>
      </x:c>
      <x:c r="B4" s="12" t="str">
        <x:v>2026-06-03</x:v>
      </x:c>
      <x:c r="C4" s="12" t="str">
        <x:v>ACH credit</x:v>
      </x:c>
      <x:c r="D4" s="13" t="n">
        <x:v>0</x:v>
      </x:c>
      <x:c r="E4" s="13" t="n">
        <x:v>1200</x:v>
      </x:c>
      <x:c r="F4" s="13" t="n">
        <x:f>E4-D4</x:f>
        <x:v>1200</x:v>
      </x:c>
      <x:c r="G4" s="12" t="n">
        <x:v>1</x:v>
      </x:c>
      <x:c r="H4" s="12" t="str">
        <x:v>Customer receipts</x:v>
      </x:c>
    </x:row>
    <x:row r="5">
      <x:c r="A5" s="12" t="str">
        <x:v>TX-002</x:v>
      </x:c>
      <x:c r="B5" s="12" t="str">
        <x:v>2026-06-08</x:v>
      </x:c>
      <x:c r="C5" s="12" t="str">
        <x:v>Equipment supply</x:v>
      </x:c>
      <x:c r="D5" s="13" t="n">
        <x:v>860</x:v>
      </x:c>
      <x:c r="E5" s="13" t="n">
        <x:v>0</x:v>
      </x:c>
      <x:c r="F5" s="13" t="n">
        <x:f>E5-D5</x:f>
        <x:v>-860</x:v>
      </x:c>
      <x:c r="G5" s="12" t="n">
        <x:v>1</x:v>
      </x:c>
      <x:c r="H5" s="12" t="str">
        <x:v>Equipment</x:v>
      </x:c>
    </x:row>
    <x:row r="6">
      <x:c r="A6" s="12" t="str">
        <x:v>TX-003</x:v>
      </x:c>
      <x:c r="B6" s="12" t="str">
        <x:v>2026-06-12</x:v>
      </x:c>
      <x:c r="C6" s="12" t="str">
        <x:v>Customer receipt</x:v>
      </x:c>
      <x:c r="D6" s="13" t="n">
        <x:v>0</x:v>
      </x:c>
      <x:c r="E6" s="13" t="n">
        <x:v>1150</x:v>
      </x:c>
      <x:c r="F6" s="13" t="n">
        <x:f>E6-D6</x:f>
        <x:v>1150</x:v>
      </x:c>
      <x:c r="G6" s="12" t="n">
        <x:v>1</x:v>
      </x:c>
      <x:c r="H6" s="12" t="str">
        <x:v>Customer receipts</x:v>
      </x:c>
    </x:row>
    <x:row r="7">
      <x:c r="A7" s="12" t="str">
        <x:v>TX-004</x:v>
      </x:c>
      <x:c r="B7" s="12" t="str">
        <x:v>2026-06-19</x:v>
      </x:c>
      <x:c r="C7" s="12" t="str">
        <x:v>Travel expense</x:v>
      </x:c>
      <x:c r="D7" s="13" t="n">
        <x:v>1015</x:v>
      </x:c>
      <x:c r="E7" s="13" t="n">
        <x:v>0</x:v>
      </x:c>
      <x:c r="F7" s="13" t="n">
        <x:f>E7-D7</x:f>
        <x:v>-1015</x:v>
      </x:c>
      <x:c r="G7" s="12" t="n">
        <x:v>2</x:v>
      </x:c>
      <x:c r="H7" s="12" t="str">
        <x:v>Travel</x:v>
      </x:c>
    </x:row>
    <x:row r="8">
      <x:c r="A8" s="12" t="str">
        <x:v>TX-005</x:v>
      </x:c>
      <x:c r="B8" s="12" t="str">
        <x:v>2026-06-28</x:v>
      </x:c>
      <x:c r="C8" s="12" t="str">
        <x:v>Monthly fee</x:v>
      </x:c>
      <x:c r="D8" s="13" t="n">
        <x:v>42</x:v>
      </x:c>
      <x:c r="E8" s="13" t="n">
        <x:v>0</x:v>
      </x:c>
      <x:c r="F8" s="13" t="n">
        <x:f>E8-D8</x:f>
        <x:v>-42</x:v>
      </x:c>
      <x:c r="G8" s="12" t="n">
        <x:v>2</x:v>
      </x:c>
      <x:c r="H8" s="12" t="str">
        <x:v>Bank fees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32" hidden="0" customWidth="1"/>
  </x:cols>
  <x:sheetData>
    <x:row r="1" ht="26" customHeight="1">
      <x:c r="A1" s="14" t="str">
        <x:v>Statement Category Summary</x:v>
      </x:c>
      <x:c r="B1" s="14"/>
      <x:c r="C1" s="14"/>
    </x:row>
    <x:row r="2">
      <x:c r="A2" s="15"/>
      <x:c r="B2" s="15"/>
      <x:c r="C2" s="15"/>
    </x:row>
    <x:row r="3">
      <x:c r="A3" s="9" t="str">
        <x:v>Category</x:v>
      </x:c>
      <x:c r="B3" s="9" t="str">
        <x:v>Net impact</x:v>
      </x:c>
      <x:c r="C3" s="9" t="str">
        <x:v>Evidence</x:v>
      </x:c>
    </x:row>
    <x:row r="4">
      <x:c r="A4" s="12" t="str">
        <x:v>Customer receipts</x:v>
      </x:c>
      <x:c r="B4" s="13" t="n">
        <x:f>'Transactions'!F4+'Transactions'!F6</x:f>
        <x:v>2350</x:v>
      </x:c>
      <x:c r="C4" s="12" t="str">
        <x:v>TX-001 + TX-003</x:v>
      </x:c>
    </x:row>
    <x:row r="5">
      <x:c r="A5" s="12" t="str">
        <x:v>Equipment</x:v>
      </x:c>
      <x:c r="B5" s="13" t="n">
        <x:f>'Transactions'!F5</x:f>
        <x:v>-860</x:v>
      </x:c>
      <x:c r="C5" s="12" t="str">
        <x:v>TX-002</x:v>
      </x:c>
    </x:row>
    <x:row r="6">
      <x:c r="A6" s="12" t="str">
        <x:v>Travel and fees</x:v>
      </x:c>
      <x:c r="B6" s="13" t="n">
        <x:f>'Transactions'!F7+'Transactions'!F8</x:f>
        <x:v>-1057</x:v>
      </x:c>
      <x:c r="C6" s="12" t="str">
        <x:v>TX-004 + TX-005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9" hidden="0" customWidth="1"/>
    <x:col min="3" max="3" width="12" hidden="0" customWidth="1"/>
    <x:col min="4" max="4" width="38" hidden="0" customWidth="1"/>
    <x:col min="5" max="5" width="20" hidden="0" customWidth="1"/>
  </x:cols>
  <x:sheetData>
    <x:row r="1" ht="26" customHeight="1">
      <x:c r="A1" s="14" t="str">
        <x:v>Statement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Transaction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TX-001</x:v>
      </x:c>
      <x:c r="B4" s="12" t="str">
        <x:v>statement_multipage.pdf</x:v>
      </x:c>
      <x:c r="C4" s="12" t="n">
        <x:v>1</x:v>
      </x:c>
      <x:c r="D4" s="12" t="str">
        <x:v>statement_multipage.pdf:p1:tx-1</x:v>
      </x:c>
      <x:c r="E4" s="12" t="str">
        <x:v>Transactions!4</x:v>
      </x:c>
    </x:row>
    <x:row r="5">
      <x:c r="A5" s="12" t="str">
        <x:v>TX-002</x:v>
      </x:c>
      <x:c r="B5" s="12" t="str">
        <x:v>statement_multipage.pdf</x:v>
      </x:c>
      <x:c r="C5" s="12" t="n">
        <x:v>1</x:v>
      </x:c>
      <x:c r="D5" s="12" t="str">
        <x:v>statement_multipage.pdf:p1:tx-2</x:v>
      </x:c>
      <x:c r="E5" s="12" t="str">
        <x:v>Transactions!5</x:v>
      </x:c>
    </x:row>
    <x:row r="6">
      <x:c r="A6" s="12" t="str">
        <x:v>TX-003</x:v>
      </x:c>
      <x:c r="B6" s="12" t="str">
        <x:v>statement_multipage.pdf</x:v>
      </x:c>
      <x:c r="C6" s="12" t="n">
        <x:v>1</x:v>
      </x:c>
      <x:c r="D6" s="12" t="str">
        <x:v>statement_multipage.pdf:p1:tx-3</x:v>
      </x:c>
      <x:c r="E6" s="12" t="str">
        <x:v>Transactions!6</x:v>
      </x:c>
    </x:row>
    <x:row r="7">
      <x:c r="A7" s="12" t="str">
        <x:v>TX-004</x:v>
      </x:c>
      <x:c r="B7" s="12" t="str">
        <x:v>statement_multipage.pdf</x:v>
      </x:c>
      <x:c r="C7" s="12" t="n">
        <x:v>2</x:v>
      </x:c>
      <x:c r="D7" s="12" t="str">
        <x:v>statement_multipage.pdf:p2:tx-4</x:v>
      </x:c>
      <x:c r="E7" s="12" t="str">
        <x:v>Transactions!7</x:v>
      </x:c>
    </x:row>
    <x:row r="8">
      <x:c r="A8" s="12" t="str">
        <x:v>TX-005</x:v>
      </x:c>
      <x:c r="B8" s="12" t="str">
        <x:v>statement_multipage.pdf</x:v>
      </x:c>
      <x:c r="C8" s="12" t="n">
        <x:v>2</x:v>
      </x:c>
      <x:c r="D8" s="12" t="str">
        <x:v>statement_multipage.pdf:p2:tx-5</x:v>
      </x:c>
      <x:c r="E8" s="12" t="str">
        <x:v>Transactions!8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36" hidden="0" customWidth="1"/>
  </x:cols>
  <x:sheetData>
    <x:row r="1" ht="26" customHeight="1">
      <x:c r="A1" s="14" t="str">
        <x:v>Opening-to-Closing Balance Reconciliation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Opening balance</x:v>
      </x:c>
      <x:c r="B4" s="13" t="n">
        <x:f>'Statement_Header'!B8</x:f>
        <x:v>8100</x:v>
      </x:c>
      <x:c r="C4" s="13" t="n">
        <x:v>8100</x:v>
      </x:c>
      <x:c r="D4" s="12" t="str">
        <x:v>Statement header</x:v>
      </x:c>
    </x:row>
    <x:row r="5">
      <x:c r="A5" s="12" t="str">
        <x:v>Credits</x:v>
      </x:c>
      <x:c r="B5" s="13" t="n">
        <x:f>'Transactions'!E4+'Transactions'!E5+'Transactions'!E6+'Transactions'!E7+'Transactions'!E8</x:f>
        <x:v>2350</x:v>
      </x:c>
      <x:c r="C5" s="13" t="n">
        <x:v>2350</x:v>
      </x:c>
      <x:c r="D5" s="12" t="str">
        <x:v>Customer receipts</x:v>
      </x:c>
    </x:row>
    <x:row r="6">
      <x:c r="A6" s="12" t="str">
        <x:v>Debits</x:v>
      </x:c>
      <x:c r="B6" s="13" t="n">
        <x:f>'Transactions'!D4+'Transactions'!D5+'Transactions'!D6+'Transactions'!D7+'Transactions'!D8</x:f>
        <x:v>1917</x:v>
      </x:c>
      <x:c r="C6" s="13" t="n">
        <x:v>1917</x:v>
      </x:c>
      <x:c r="D6" s="12" t="str">
        <x:v>Equipment, travel, and fee</x:v>
      </x:c>
    </x:row>
    <x:row r="7">
      <x:c r="A7" s="12" t="str">
        <x:v>Calculated closing balance</x:v>
      </x:c>
      <x:c r="B7" s="13" t="n">
        <x:v>8100</x:v>
      </x:c>
      <x:c r="C7" s="13" t="n">
        <x:v>8533</x:v>
      </x:c>
      <x:c r="D7" s="12" t="str">
        <x:v>Opening + credits - debits</x:v>
      </x:c>
    </x:row>
    <x:row r="8">
      <x:c r="A8" s="12" t="str">
        <x:v>Statement closing balance</x:v>
      </x:c>
      <x:c r="B8" s="13" t="n">
        <x:v>8533</x:v>
      </x:c>
      <x:c r="C8" s="13" t="n">
        <x:v>8533</x:v>
      </x:c>
      <x:c r="D8" s="12" t="str">
        <x:v>Printed on page 2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39" hidden="0" customWidth="1"/>
  </x:cols>
  <x:sheetData>
    <x:row r="1" ht="26" customHeight="1">
      <x:c r="A1" s="14" t="str">
        <x:v>Statement Completion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Transactions extracted</x:v>
      </x:c>
      <x:c r="B4" s="12" t="n">
        <x:f>1+1+1+1+1</x:f>
        <x:v>5</x:v>
      </x:c>
      <x:c r="C4" s="12" t="n">
        <x:v>5</x:v>
      </x:c>
      <x:c r="D4" s="12" t="str">
        <x:v>Both statement pages included</x:v>
      </x:c>
    </x:row>
    <x:row r="5">
      <x:c r="A5" s="12" t="str">
        <x:v>Closing balance check</x:v>
      </x:c>
      <x:c r="B5" s="12" t="str">
        <x:f>IF('Reconciliation'!B7='Reconciliation'!B8,"PASS","CHECK")</x:f>
        <x:v>CHECK</x:v>
      </x:c>
      <x:c r="C5" s="12" t="str">
        <x:v>PASS</x:v>
      </x:c>
      <x:c r="D5" s="12" t="str">
        <x:v>Calculated equals printed closing balance</x:v>
      </x:c>
    </x:row>
    <x:row r="6">
      <x:c r="A6" s="12" t="str">
        <x:v>Provenance rows</x:v>
      </x:c>
      <x:c r="B6" s="12" t="n">
        <x:f>1+1+1+1+1</x:f>
        <x:v>5</x:v>
      </x:c>
      <x:c r="C6" s="12" t="n">
        <x:v>5</x:v>
      </x:c>
      <x:c r="D6" s="12" t="str">
        <x:v>Every transaction records its page</x:v>
      </x:c>
    </x:row>
  </x:sheetData>
  <x:mergeCells>
    <x:mergeCell ref="A1:D1"/>
  </x:mergeCells>
  <x:pageMargins left="0.7" right="0.7" top="0.75" bottom="0.75" header="0.3" footer="0.3"/>
</x:worksheet>
</file>