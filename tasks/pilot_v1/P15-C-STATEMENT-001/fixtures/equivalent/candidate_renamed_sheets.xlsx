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 overview" sheetId="1" state="visible" r:id="rId1"/>
    <sheet xmlns:r="http://schemas.openxmlformats.org/officeDocument/2006/relationships" name="Ledger lines" sheetId="2" state="visible" r:id="rId2"/>
    <sheet xmlns:r="http://schemas.openxmlformats.org/officeDocument/2006/relationships" name="Cash categories" sheetId="3" state="visible" r:id="rId3"/>
    <sheet xmlns:r="http://schemas.openxmlformats.org/officeDocument/2006/relationships" name="Source register" sheetId="4" state="visible" r:id="rId4"/>
    <sheet xmlns:r="http://schemas.openxmlformats.org/officeDocument/2006/relationships" name="Balance bridge" sheetId="5" state="visible" r:id="rId5"/>
    <sheet xmlns:r="http://schemas.openxmlformats.org/officeDocument/2006/relationships" name="Review notes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0" customWidth="1" min="3" max="3"/>
  </cols>
  <sheetData>
    <row r="1" ht="26" customHeight="1">
      <c r="A1" s="14" t="inlineStr">
        <is>
          <t>Bank Statement Header</t>
        </is>
      </c>
    </row>
    <row r="2">
      <c r="A2" s="15" t="n"/>
      <c r="B2" s="15" t="n"/>
      <c r="C2" s="15" t="n"/>
    </row>
    <row r="3">
      <c r="A3" s="9" t="inlineStr">
        <is>
          <t>Field</t>
        </is>
      </c>
      <c r="B3" s="9" t="inlineStr">
        <is>
          <t>Value</t>
        </is>
      </c>
      <c r="C3" s="15" t="n"/>
    </row>
    <row r="4">
      <c r="A4" s="12" t="inlineStr">
        <is>
          <t>Bank</t>
        </is>
      </c>
      <c r="B4" s="12" t="inlineStr">
        <is>
          <t>Harbor Community Bank</t>
        </is>
      </c>
      <c r="C4" s="15" t="n"/>
    </row>
    <row r="5">
      <c r="A5" s="12" t="inlineStr">
        <is>
          <t>Account ending</t>
        </is>
      </c>
      <c r="B5" s="12" t="inlineStr">
        <is>
          <t>4821</t>
        </is>
      </c>
      <c r="C5" s="15" t="n"/>
    </row>
    <row r="6">
      <c r="A6" s="12" t="inlineStr">
        <is>
          <t>Period start</t>
        </is>
      </c>
      <c r="B6" s="12" t="inlineStr">
        <is>
          <t>2026-06-01</t>
        </is>
      </c>
      <c r="C6" s="15" t="n"/>
    </row>
    <row r="7">
      <c r="A7" s="12" t="inlineStr">
        <is>
          <t>Period end</t>
        </is>
      </c>
      <c r="B7" s="12" t="inlineStr">
        <is>
          <t>2026-06-30</t>
        </is>
      </c>
      <c r="C7" s="15" t="n"/>
    </row>
    <row r="8">
      <c r="A8" s="12" t="inlineStr">
        <is>
          <t>Opening balance</t>
        </is>
      </c>
      <c r="B8" s="16" t="n">
        <v>8100</v>
      </c>
      <c r="C8" s="15" t="n"/>
    </row>
    <row r="9">
      <c r="A9" s="12" t="inlineStr">
        <is>
          <t>Currency</t>
        </is>
      </c>
      <c r="B9" s="12" t="inlineStr">
        <is>
          <t>USD</t>
        </is>
      </c>
      <c r="C9" s="15" t="n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15" customWidth="1" min="4" max="4"/>
    <col width="15" customWidth="1" min="5" max="5"/>
    <col width="18" customWidth="1" min="6" max="6"/>
    <col width="12" customWidth="1" min="7" max="7"/>
    <col width="24" customWidth="1" min="8" max="8"/>
  </cols>
  <sheetData>
    <row r="1" ht="26" customHeight="1">
      <c r="A1" s="14" t="inlineStr">
        <is>
          <t>Statement Transaction Extraction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>
      <c r="A3" s="9" t="inlineStr">
        <is>
          <t>Transaction ID</t>
        </is>
      </c>
      <c r="B3" s="9" t="inlineStr">
        <is>
          <t>Date</t>
        </is>
      </c>
      <c r="C3" s="9" t="inlineStr">
        <is>
          <t>Description</t>
        </is>
      </c>
      <c r="D3" s="9" t="inlineStr">
        <is>
          <t>Debit</t>
        </is>
      </c>
      <c r="E3" s="9" t="inlineStr">
        <is>
          <t>Credit</t>
        </is>
      </c>
      <c r="F3" s="9" t="inlineStr">
        <is>
          <t>Net impact</t>
        </is>
      </c>
      <c r="G3" s="9" t="inlineStr">
        <is>
          <t>Page</t>
        </is>
      </c>
      <c r="H3" s="9" t="inlineStr">
        <is>
          <t>Category</t>
        </is>
      </c>
    </row>
    <row r="4">
      <c r="A4" s="12" t="inlineStr">
        <is>
          <t>TX-001</t>
        </is>
      </c>
      <c r="B4" s="12" t="inlineStr">
        <is>
          <t>2026-06-03</t>
        </is>
      </c>
      <c r="C4" s="12" t="inlineStr">
        <is>
          <t>ACH credit</t>
        </is>
      </c>
      <c r="D4" s="16" t="n">
        <v>0</v>
      </c>
      <c r="E4" s="16" t="n">
        <v>1200</v>
      </c>
      <c r="F4" s="16">
        <f>E4-D4</f>
        <v/>
      </c>
      <c r="G4" s="12" t="n">
        <v>1</v>
      </c>
      <c r="H4" s="12" t="inlineStr">
        <is>
          <t>Customer receipts</t>
        </is>
      </c>
    </row>
    <row r="5">
      <c r="A5" s="12" t="inlineStr">
        <is>
          <t>TX-002</t>
        </is>
      </c>
      <c r="B5" s="12" t="inlineStr">
        <is>
          <t>2026-06-08</t>
        </is>
      </c>
      <c r="C5" s="12" t="inlineStr">
        <is>
          <t>Equipment supply</t>
        </is>
      </c>
      <c r="D5" s="16" t="n">
        <v>860</v>
      </c>
      <c r="E5" s="16" t="n">
        <v>0</v>
      </c>
      <c r="F5" s="16">
        <f>E5-D5</f>
        <v/>
      </c>
      <c r="G5" s="12" t="n">
        <v>1</v>
      </c>
      <c r="H5" s="12" t="inlineStr">
        <is>
          <t>Equipment</t>
        </is>
      </c>
    </row>
    <row r="6">
      <c r="A6" s="12" t="inlineStr">
        <is>
          <t>TX-003</t>
        </is>
      </c>
      <c r="B6" s="12" t="inlineStr">
        <is>
          <t>2026-06-12</t>
        </is>
      </c>
      <c r="C6" s="12" t="inlineStr">
        <is>
          <t>Customer receipt</t>
        </is>
      </c>
      <c r="D6" s="16" t="n">
        <v>0</v>
      </c>
      <c r="E6" s="16" t="n">
        <v>1150</v>
      </c>
      <c r="F6" s="16">
        <f>E6-D6</f>
        <v/>
      </c>
      <c r="G6" s="12" t="n">
        <v>1</v>
      </c>
      <c r="H6" s="12" t="inlineStr">
        <is>
          <t>Customer receipts</t>
        </is>
      </c>
    </row>
    <row r="7">
      <c r="A7" s="12" t="inlineStr">
        <is>
          <t>TX-004</t>
        </is>
      </c>
      <c r="B7" s="12" t="inlineStr">
        <is>
          <t>2026-06-19</t>
        </is>
      </c>
      <c r="C7" s="12" t="inlineStr">
        <is>
          <t>Travel expense</t>
        </is>
      </c>
      <c r="D7" s="16" t="n">
        <v>1015</v>
      </c>
      <c r="E7" s="16" t="n">
        <v>0</v>
      </c>
      <c r="F7" s="16">
        <f>E7-D7</f>
        <v/>
      </c>
      <c r="G7" s="12" t="n">
        <v>2</v>
      </c>
      <c r="H7" s="12" t="inlineStr">
        <is>
          <t>Travel</t>
        </is>
      </c>
    </row>
    <row r="8">
      <c r="A8" s="12" t="inlineStr">
        <is>
          <t>TX-005</t>
        </is>
      </c>
      <c r="B8" s="12" t="inlineStr">
        <is>
          <t>2026-06-28</t>
        </is>
      </c>
      <c r="C8" s="12" t="inlineStr">
        <is>
          <t>Monthly fee</t>
        </is>
      </c>
      <c r="D8" s="16" t="n">
        <v>42</v>
      </c>
      <c r="E8" s="16" t="n">
        <v>0</v>
      </c>
      <c r="F8" s="16">
        <f>E8-D8</f>
        <v/>
      </c>
      <c r="G8" s="12" t="n">
        <v>2</v>
      </c>
      <c r="H8" s="12" t="inlineStr">
        <is>
          <t>Bank fees</t>
        </is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2" customWidth="1" min="3" max="3"/>
  </cols>
  <sheetData>
    <row r="1" ht="26" customHeight="1">
      <c r="A1" s="14" t="inlineStr">
        <is>
          <t>Statement Category Summary</t>
        </is>
      </c>
    </row>
    <row r="2">
      <c r="A2" s="15" t="n"/>
      <c r="B2" s="15" t="n"/>
      <c r="C2" s="15" t="n"/>
    </row>
    <row r="3">
      <c r="A3" s="9" t="inlineStr">
        <is>
          <t>Category</t>
        </is>
      </c>
      <c r="B3" s="9" t="inlineStr">
        <is>
          <t>Net impact</t>
        </is>
      </c>
      <c r="C3" s="9" t="inlineStr">
        <is>
          <t>Evidence</t>
        </is>
      </c>
    </row>
    <row r="4">
      <c r="A4" s="12" t="inlineStr">
        <is>
          <t>Customer receipts</t>
        </is>
      </c>
      <c r="B4" s="16">
        <f>'Transactions'!F4+'Transactions'!F6</f>
        <v/>
      </c>
      <c r="C4" s="12" t="inlineStr">
        <is>
          <t>TX-001 + TX-003</t>
        </is>
      </c>
    </row>
    <row r="5">
      <c r="A5" s="12" t="inlineStr">
        <is>
          <t>Equipment</t>
        </is>
      </c>
      <c r="B5" s="16">
        <f>'Transactions'!F5</f>
        <v/>
      </c>
      <c r="C5" s="12" t="inlineStr">
        <is>
          <t>TX-002</t>
        </is>
      </c>
    </row>
    <row r="6">
      <c r="A6" s="12" t="inlineStr">
        <is>
          <t>Travel and fees</t>
        </is>
      </c>
      <c r="B6" s="16">
        <f>'Transactions'!F7+'Transactions'!F8</f>
        <v/>
      </c>
      <c r="C6" s="12" t="inlineStr">
        <is>
          <t>TX-004 + TX-005</t>
        </is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38" customWidth="1" min="4" max="4"/>
    <col width="20" customWidth="1" min="5" max="5"/>
  </cols>
  <sheetData>
    <row r="1" ht="26" customHeight="1">
      <c r="A1" s="14" t="inlineStr">
        <is>
          <t>Statement Source Traceability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Transaction ID</t>
        </is>
      </c>
      <c r="B3" s="9" t="inlineStr">
        <is>
          <t>Source document</t>
        </is>
      </c>
      <c r="C3" s="9" t="inlineStr">
        <is>
          <t>Page</t>
        </is>
      </c>
      <c r="D3" s="9" t="inlineStr">
        <is>
          <t>Text locator</t>
        </is>
      </c>
      <c r="E3" s="9" t="inlineStr">
        <is>
          <t>Target row</t>
        </is>
      </c>
    </row>
    <row r="4">
      <c r="A4" s="12" t="inlineStr">
        <is>
          <t>TX-001</t>
        </is>
      </c>
      <c r="B4" s="12" t="inlineStr">
        <is>
          <t>statement_multipage.pdf</t>
        </is>
      </c>
      <c r="C4" s="12" t="n">
        <v>1</v>
      </c>
      <c r="D4" s="12" t="inlineStr">
        <is>
          <t>statement_multipage.pdf:p1:tx-1</t>
        </is>
      </c>
      <c r="E4" s="12" t="inlineStr">
        <is>
          <t>Transactions!4</t>
        </is>
      </c>
    </row>
    <row r="5">
      <c r="A5" s="12" t="inlineStr">
        <is>
          <t>TX-002</t>
        </is>
      </c>
      <c r="B5" s="12" t="inlineStr">
        <is>
          <t>statement_multipage.pdf</t>
        </is>
      </c>
      <c r="C5" s="12" t="n">
        <v>1</v>
      </c>
      <c r="D5" s="12" t="inlineStr">
        <is>
          <t>statement_multipage.pdf:p1:tx-2</t>
        </is>
      </c>
      <c r="E5" s="12" t="inlineStr">
        <is>
          <t>Transactions!5</t>
        </is>
      </c>
    </row>
    <row r="6">
      <c r="A6" s="12" t="inlineStr">
        <is>
          <t>TX-003</t>
        </is>
      </c>
      <c r="B6" s="12" t="inlineStr">
        <is>
          <t>statement_multipage.pdf</t>
        </is>
      </c>
      <c r="C6" s="12" t="n">
        <v>1</v>
      </c>
      <c r="D6" s="12" t="inlineStr">
        <is>
          <t>statement_multipage.pdf:p1:tx-3</t>
        </is>
      </c>
      <c r="E6" s="12" t="inlineStr">
        <is>
          <t>Transactions!6</t>
        </is>
      </c>
    </row>
    <row r="7">
      <c r="A7" s="12" t="inlineStr">
        <is>
          <t>TX-004</t>
        </is>
      </c>
      <c r="B7" s="12" t="inlineStr">
        <is>
          <t>statement_multipage.pdf</t>
        </is>
      </c>
      <c r="C7" s="12" t="n">
        <v>2</v>
      </c>
      <c r="D7" s="12" t="inlineStr">
        <is>
          <t>statement_multipage.pdf:p2:tx-4</t>
        </is>
      </c>
      <c r="E7" s="12" t="inlineStr">
        <is>
          <t>Transactions!7</t>
        </is>
      </c>
    </row>
    <row r="8">
      <c r="A8" s="12" t="inlineStr">
        <is>
          <t>TX-005</t>
        </is>
      </c>
      <c r="B8" s="12" t="inlineStr">
        <is>
          <t>statement_multipage.pdf</t>
        </is>
      </c>
      <c r="C8" s="12" t="n">
        <v>2</v>
      </c>
      <c r="D8" s="12" t="inlineStr">
        <is>
          <t>statement_multipage.pdf:p2:tx-5</t>
        </is>
      </c>
      <c r="E8" s="12" t="inlineStr">
        <is>
          <t>Transactions!8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6" customWidth="1" min="4" max="4"/>
  </cols>
  <sheetData>
    <row r="1" ht="26" customHeight="1">
      <c r="A1" s="14" t="inlineStr">
        <is>
          <t>Opening-to-Closing Balance Reconciliation</t>
        </is>
      </c>
    </row>
    <row r="2">
      <c r="A2" s="15" t="n"/>
      <c r="B2" s="15" t="n"/>
      <c r="C2" s="15" t="n"/>
      <c r="D2" s="15" t="n"/>
    </row>
    <row r="3">
      <c r="A3" s="9" t="inlineStr">
        <is>
          <t>Metric</t>
        </is>
      </c>
      <c r="B3" s="9" t="inlineStr">
        <is>
          <t>Value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Opening balance</t>
        </is>
      </c>
      <c r="B4" s="16">
        <f>'Statement_Header'!B8</f>
        <v/>
      </c>
      <c r="C4" s="16" t="n">
        <v>8100</v>
      </c>
      <c r="D4" s="12" t="inlineStr">
        <is>
          <t>Statement header</t>
        </is>
      </c>
    </row>
    <row r="5">
      <c r="A5" s="12" t="inlineStr">
        <is>
          <t>Credits</t>
        </is>
      </c>
      <c r="B5" s="16">
        <f>'Transactions'!E4+'Transactions'!E5+'Transactions'!E6+'Transactions'!E7+'Transactions'!E8</f>
        <v/>
      </c>
      <c r="C5" s="16" t="n">
        <v>2350</v>
      </c>
      <c r="D5" s="12" t="inlineStr">
        <is>
          <t>Customer receipts</t>
        </is>
      </c>
    </row>
    <row r="6">
      <c r="A6" s="12" t="inlineStr">
        <is>
          <t>Debits</t>
        </is>
      </c>
      <c r="B6" s="16">
        <f>'Transactions'!D4+'Transactions'!D5+'Transactions'!D6+'Transactions'!D7+'Transactions'!D8</f>
        <v/>
      </c>
      <c r="C6" s="16" t="n">
        <v>1917</v>
      </c>
      <c r="D6" s="12" t="inlineStr">
        <is>
          <t>Equipment, travel, and fee</t>
        </is>
      </c>
    </row>
    <row r="7">
      <c r="A7" s="12" t="inlineStr">
        <is>
          <t>Calculated closing balance</t>
        </is>
      </c>
      <c r="B7" s="16">
        <f>B4+B5-B6</f>
        <v/>
      </c>
      <c r="C7" s="16" t="n">
        <v>8533</v>
      </c>
      <c r="D7" s="12" t="inlineStr">
        <is>
          <t>Opening + credits - debits</t>
        </is>
      </c>
    </row>
    <row r="8">
      <c r="A8" s="12" t="inlineStr">
        <is>
          <t>Statement closing balance</t>
        </is>
      </c>
      <c r="B8" s="16" t="n">
        <v>8533</v>
      </c>
      <c r="C8" s="16" t="n">
        <v>8533</v>
      </c>
      <c r="D8" s="12" t="inlineStr">
        <is>
          <t>Printed on page 2</t>
        </is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39" customWidth="1" min="4" max="4"/>
  </cols>
  <sheetData>
    <row r="1" ht="26" customHeight="1">
      <c r="A1" s="14" t="inlineStr">
        <is>
          <t>Statement Completion Checks</t>
        </is>
      </c>
    </row>
    <row r="2">
      <c r="A2" s="15" t="n"/>
      <c r="B2" s="15" t="n"/>
      <c r="C2" s="15" t="n"/>
      <c r="D2" s="15" t="n"/>
    </row>
    <row r="3">
      <c r="A3" s="9" t="inlineStr">
        <is>
          <t>Check</t>
        </is>
      </c>
      <c r="B3" s="9" t="inlineStr">
        <is>
          <t>Observed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Transactions extracted</t>
        </is>
      </c>
      <c r="B4" s="12">
        <f>1+1+1+1+1</f>
        <v/>
      </c>
      <c r="C4" s="12" t="n">
        <v>5</v>
      </c>
      <c r="D4" s="12" t="inlineStr">
        <is>
          <t>Both statement pages included</t>
        </is>
      </c>
    </row>
    <row r="5">
      <c r="A5" s="12" t="inlineStr">
        <is>
          <t>Closing balance check</t>
        </is>
      </c>
      <c r="B5" s="12">
        <f>IF('Reconciliation'!B7='Reconciliation'!B8,"PASS","CHECK")</f>
        <v/>
      </c>
      <c r="C5" s="12" t="inlineStr">
        <is>
          <t>PASS</t>
        </is>
      </c>
      <c r="D5" s="12" t="inlineStr">
        <is>
          <t>Calculated equals printed closing balance</t>
        </is>
      </c>
    </row>
    <row r="6">
      <c r="A6" s="12" t="inlineStr">
        <is>
          <t>Provenance rows</t>
        </is>
      </c>
      <c r="B6" s="12">
        <f>1+1+1+1+1</f>
        <v/>
      </c>
      <c r="C6" s="12" t="n">
        <v>5</v>
      </c>
      <c r="D6" s="12" t="inlineStr">
        <is>
          <t>Every transaction records its page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2026-09-04T02:56:44Z</dcterms:created>
  <dcterms:modified xmlns:dcterms="http://purl.org/dc/terms/" xmlns:xsi="http://www.w3.org/2001/XMLSchema-instance" xsi:type="dcterms:W3CDTF">2026-09-04T02:56:44Z</dcterms:modified>
</cp:coreProperties>
</file>