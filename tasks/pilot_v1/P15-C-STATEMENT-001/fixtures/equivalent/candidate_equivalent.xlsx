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93b46feac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e1659afd3e9d473f"/>
    <x:sheet xmlns:r="http://schemas.openxmlformats.org/officeDocument/2006/relationships" name="Transactions" sheetId="2" r:id="Rbf4ead8b37934594"/>
    <x:sheet xmlns:r="http://schemas.openxmlformats.org/officeDocument/2006/relationships" name="Categories" sheetId="3" r:id="Rad34ac94d80e40b5"/>
    <x:sheet xmlns:r="http://schemas.openxmlformats.org/officeDocument/2006/relationships" name="Provenance" sheetId="4" r:id="Rf03bc88ea41e410b"/>
    <x:sheet xmlns:r="http://schemas.openxmlformats.org/officeDocument/2006/relationships" name="Reconciliation" sheetId="5" r:id="Re37e8a2fe43d4c06"/>
    <x:sheet xmlns:r="http://schemas.openxmlformats.org/officeDocument/2006/relationships" name="Checks" sheetId="6" r:id="Rf21d5a12f837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3c65d51264f3b" /><Relationship Type="http://schemas.openxmlformats.org/officeDocument/2006/relationships/theme" Target="/xl/theme/theme1.xml" Id="R0c18866352ed426e" /><Relationship Type="http://schemas.openxmlformats.org/officeDocument/2006/relationships/sharedStrings" Target="/xl/sharedStrings.xml" Id="R7410c2a2e1cb4c86" /><Relationship Type="http://schemas.openxmlformats.org/officeDocument/2006/relationships/worksheet" Target="/xl/worksheets/sheet1.xml" Id="Re1659afd3e9d473f" /><Relationship Type="http://schemas.openxmlformats.org/officeDocument/2006/relationships/worksheet" Target="/xl/worksheets/sheet2.xml" Id="Rbf4ead8b37934594" /><Relationship Type="http://schemas.openxmlformats.org/officeDocument/2006/relationships/worksheet" Target="/xl/worksheets/sheet3.xml" Id="Rad34ac94d80e40b5" /><Relationship Type="http://schemas.openxmlformats.org/officeDocument/2006/relationships/worksheet" Target="/xl/worksheets/sheet4.xml" Id="Rf03bc88ea41e410b" /><Relationship Type="http://schemas.openxmlformats.org/officeDocument/2006/relationships/worksheet" Target="/xl/worksheets/sheet5.xml" Id="Re37e8a2fe43d4c06" /><Relationship Type="http://schemas.openxmlformats.org/officeDocument/2006/relationships/worksheet" Target="/xl/worksheets/sheet6.xml" Id="Rf21d5a12f837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TX-005</x:v>
      </x:c>
      <x:c r="B4" s="12" t="str">
        <x:v>2026-06-28</x:v>
      </x:c>
      <x:c r="C4" s="12" t="str">
        <x:v>Monthly fee</x:v>
      </x:c>
      <x:c r="D4" s="13" t="n">
        <x:v>42</x:v>
      </x:c>
      <x:c r="E4" s="13" t="n">
        <x:v>0</x:v>
      </x:c>
      <x:c r="F4" s="13" t="n">
        <x:f>E4-D4</x:f>
        <x:v>-42</x:v>
      </x:c>
      <x:c r="G4" s="12" t="n">
        <x:v>2</x:v>
      </x:c>
      <x:c r="H4" s="12" t="str">
        <x:v>Bank fees</x:v>
      </x:c>
    </x:row>
    <x:row r="5">
      <x:c r="A5" s="12" t="str">
        <x:v>TX-003</x:v>
      </x:c>
      <x:c r="B5" s="12" t="str">
        <x:v>2026-06-12</x:v>
      </x:c>
      <x:c r="C5" s="12" t="str">
        <x:v>Customer receipt</x:v>
      </x:c>
      <x:c r="D5" s="13" t="n">
        <x:v>0</x:v>
      </x:c>
      <x:c r="E5" s="13" t="n">
        <x:v>1150</x:v>
      </x:c>
      <x:c r="F5" s="13" t="n">
        <x:f>E5-D5</x:f>
        <x:v>1150</x:v>
      </x:c>
      <x:c r="G5" s="12" t="n">
        <x:v>1</x:v>
      </x:c>
      <x:c r="H5" s="12" t="str">
        <x:v>Customer receipts</x:v>
      </x:c>
    </x:row>
    <x:row r="6">
      <x:c r="A6" s="12" t="str">
        <x:v>TX-001</x:v>
      </x:c>
      <x:c r="B6" s="12" t="str">
        <x:v>2026-06-03</x:v>
      </x:c>
      <x:c r="C6" s="12" t="str">
        <x:v>ACH credit</x:v>
      </x:c>
      <x:c r="D6" s="13" t="n">
        <x:v>0</x:v>
      </x:c>
      <x:c r="E6" s="13" t="n">
        <x:v>1200</x:v>
      </x:c>
      <x:c r="F6" s="13" t="n">
        <x:f>E6-D6</x:f>
        <x:v>1200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 t="str">
        <x:v>TX-002</x:v>
      </x:c>
      <x:c r="B8" s="12" t="str">
        <x:v>2026-06-08</x:v>
      </x:c>
      <x:c r="C8" s="12" t="str">
        <x:v>Equipment supply</x:v>
      </x:c>
      <x:c r="D8" s="13" t="n">
        <x:v>860</x:v>
      </x:c>
      <x:c r="E8" s="13" t="n">
        <x:v>0</x:v>
      </x:c>
      <x:c r="F8" s="13" t="n">
        <x:f>E8-D8</x:f>
        <x:v>-860</x:v>
      </x:c>
      <x:c r="G8" s="12" t="n">
        <x:v>1</x:v>
      </x:c>
      <x:c r="H8" s="12" t="str">
        <x:v>Equipment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Travel and fees</x:v>
      </x:c>
      <x:c r="B4" s="13" t="n">
        <x:f>'Transactions'!F4+'Transactions'!F7</x:f>
        <x:v>-1057</x:v>
      </x:c>
      <x:c r="C4" s="12" t="str">
        <x:v>TX-004 + TX-005</x:v>
      </x:c>
    </x:row>
    <x:row r="5">
      <x:c r="A5" s="12" t="str">
        <x:v>Customer receipts</x:v>
      </x:c>
      <x:c r="B5" s="13" t="n">
        <x:f>'Transactions'!F5+'Transactions'!F6</x:f>
        <x:v>2350</x:v>
      </x:c>
      <x:c r="C5" s="12" t="str">
        <x:v>TX-001 + TX-003</x:v>
      </x:c>
    </x:row>
    <x:row r="6">
      <x:c r="A6" s="12" t="str">
        <x:v>Equipment</x:v>
      </x:c>
      <x:c r="B6" s="13" t="n">
        <x:f>'Transactions'!F8</x:f>
        <x:v>-860</x:v>
      </x:c>
      <x:c r="C6" s="12" t="str">
        <x:v>TX-002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TX-004</x:v>
      </x:c>
      <x:c r="B4" s="12" t="str">
        <x:v>statement_multipage.pdf</x:v>
      </x:c>
      <x:c r="C4" s="12" t="n">
        <x:v>2</x:v>
      </x:c>
      <x:c r="D4" s="12" t="str">
        <x:v>statement_multipage.pdf:p2:tx-4</x:v>
      </x:c>
      <x:c r="E4" s="12" t="str">
        <x:v>Transactions!7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Transactions!8</x:v>
      </x:c>
    </x:row>
    <x:row r="6">
      <x:c r="A6" s="12" t="str">
        <x:v>TX-005</x:v>
      </x:c>
      <x:c r="B6" s="12" t="str">
        <x:v>statement_multipage.pdf</x:v>
      </x:c>
      <x:c r="C6" s="12" t="n">
        <x:v>2</x:v>
      </x:c>
      <x:c r="D6" s="12" t="str">
        <x:v>statement_multipage.pdf:p2:tx-5</x:v>
      </x:c>
      <x:c r="E6" s="12" t="str">
        <x:v>Transactions!4</x:v>
      </x:c>
    </x:row>
    <x:row r="7">
      <x:c r="A7" s="12" t="str">
        <x:v>TX-001</x:v>
      </x:c>
      <x:c r="B7" s="12" t="str">
        <x:v>statement_multipage.pdf</x:v>
      </x:c>
      <x:c r="C7" s="12" t="n">
        <x:v>1</x:v>
      </x:c>
      <x:c r="D7" s="12" t="str">
        <x:v>statement_multipage.pdf:p1:tx-1</x:v>
      </x:c>
      <x:c r="E7" s="12" t="str">
        <x:v>Transactions!6</x:v>
      </x:c>
    </x:row>
    <x:row r="8">
      <x:c r="A8" s="12" t="str">
        <x:v>TX-003</x:v>
      </x:c>
      <x:c r="B8" s="12" t="str">
        <x:v>statement_multipage.pdf</x:v>
      </x:c>
      <x:c r="C8" s="12" t="n">
        <x:v>1</x:v>
      </x:c>
      <x:c r="D8" s="12" t="str">
        <x:v>statement_multipage.pdf:p1:tx-3</x:v>
      </x:c>
      <x:c r="E8" s="12" t="str">
        <x:v>Transactions!5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SUM('Transactions'!E4:E8)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SUM('Transactions'!D4:D8)</x:f>
        <x:v>1917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SUM(B4:B5)-B6</x:f>
        <x:v>8533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PASS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