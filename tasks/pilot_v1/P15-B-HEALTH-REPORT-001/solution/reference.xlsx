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4bee58fc4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7baa1cd739634777"/>
    <x:sheet xmlns:r="http://schemas.openxmlformats.org/officeDocument/2006/relationships" name="Raw_New_Hampshire" sheetId="2" r:id="Ra9456b5e3b514452"/>
    <x:sheet xmlns:r="http://schemas.openxmlformats.org/officeDocument/2006/relationships" name="Geo_Map" sheetId="3" r:id="Rf1f62c21a8a3402a"/>
    <x:sheet xmlns:r="http://schemas.openxmlformats.org/officeDocument/2006/relationships" name="Analytical_Data" sheetId="4" r:id="Rd065aa6f762d4eee"/>
    <x:sheet xmlns:r="http://schemas.openxmlformats.org/officeDocument/2006/relationships" name="Period_Metrics" sheetId="5" r:id="R271b87e0a8d744a4"/>
    <x:sheet xmlns:r="http://schemas.openxmlformats.org/officeDocument/2006/relationships" name="Report" sheetId="6" r:id="R1a3c8194029441b0"/>
    <x:sheet xmlns:r="http://schemas.openxmlformats.org/officeDocument/2006/relationships" name="Visualization" sheetId="7" r:id="R9aaf22db5bd341b8"/>
    <x:sheet xmlns:r="http://schemas.openxmlformats.org/officeDocument/2006/relationships" name="Checks" sheetId="8" r:id="Rf5f2f4b01167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730e5f1244465" /><Relationship Type="http://schemas.openxmlformats.org/officeDocument/2006/relationships/theme" Target="/xl/theme/theme1.xml" Id="Rb59abdac71f54a4b" /><Relationship Type="http://schemas.openxmlformats.org/officeDocument/2006/relationships/sharedStrings" Target="/xl/sharedStrings.xml" Id="Ra9009707bef54f89" /><Relationship Type="http://schemas.openxmlformats.org/officeDocument/2006/relationships/worksheet" Target="/xl/worksheets/sheet1.xml" Id="R7baa1cd739634777" /><Relationship Type="http://schemas.openxmlformats.org/officeDocument/2006/relationships/worksheet" Target="/xl/worksheets/sheet2.xml" Id="Ra9456b5e3b514452" /><Relationship Type="http://schemas.openxmlformats.org/officeDocument/2006/relationships/worksheet" Target="/xl/worksheets/sheet3.xml" Id="Rf1f62c21a8a3402a" /><Relationship Type="http://schemas.openxmlformats.org/officeDocument/2006/relationships/worksheet" Target="/xl/worksheets/sheet4.xml" Id="Rd065aa6f762d4eee" /><Relationship Type="http://schemas.openxmlformats.org/officeDocument/2006/relationships/worksheet" Target="/xl/worksheets/sheet5.xml" Id="R271b87e0a8d744a4" /><Relationship Type="http://schemas.openxmlformats.org/officeDocument/2006/relationships/worksheet" Target="/xl/worksheets/sheet6.xml" Id="R1a3c8194029441b0" /><Relationship Type="http://schemas.openxmlformats.org/officeDocument/2006/relationships/worksheet" Target="/xl/worksheets/sheet7.xml" Id="R9aaf22db5bd341b8" /><Relationship Type="http://schemas.openxmlformats.org/officeDocument/2006/relationships/worksheet" Target="/xl/worksheets/sheet8.xml" Id="Rf5f2f4b011674e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76c31a32ff46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76c31a32ff467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38e55d0d955b4b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f>'Raw_Vermont'!D4</x:f>
        <x:v>150.6</x:v>
      </x:c>
      <x:c r="E4" s="12" t="str">
        <x:v>Baseline 2012-2014</x:v>
      </x:c>
      <x:c r="F4" s="12" t="str">
        <x:v>CDC NCHS 113 Cause of Death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f>'Raw_Vermont'!D5</x:f>
        <x:v>149.6</x:v>
      </x:c>
      <x:c r="E5" s="12" t="str">
        <x:v>Baseline 2012-2014</x:v>
      </x:c>
      <x:c r="F5" s="12" t="str">
        <x:v>CDC NCHS 113 Cause of Death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f>'Raw_Vermont'!D6</x:f>
        <x:v>156.6</x:v>
      </x:c>
      <x:c r="E6" s="12" t="str">
        <x:v>Baseline 2012-2014</x:v>
      </x:c>
      <x:c r="F6" s="12" t="str">
        <x:v>CDC NCHS 113 Cause of Death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f>'Raw_Vermont'!D7</x:f>
        <x:v>152.5</x:v>
      </x:c>
      <x:c r="E7" s="12" t="str">
        <x:v>Current 2015-2017</x:v>
      </x:c>
      <x:c r="F7" s="12" t="str">
        <x:v>CDC NCHS 113 Cause of Death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f>'Raw_Vermont'!D8</x:f>
        <x:v>158.8</x:v>
      </x:c>
      <x:c r="E8" s="12" t="str">
        <x:v>Current 2015-2017</x:v>
      </x:c>
      <x:c r="F8" s="12" t="str">
        <x:v>CDC NCHS 113 Cause of Death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f>'Raw_Vermont'!D9</x:f>
        <x:v>152.5</x:v>
      </x:c>
      <x:c r="E9" s="12" t="str">
        <x:v>Current 2015-2017</x:v>
      </x:c>
      <x:c r="F9" s="12" t="str">
        <x:v>CDC NCHS 113 Cause of Death</x:v>
      </x:c>
    </x:row>
    <x:row r="10">
      <x:c r="A10" s="12" t="str">
        <x:v>New Hampshire</x:v>
      </x:c>
      <x:c r="B10" s="12" t="n">
        <x:v>2012</x:v>
      </x:c>
      <x:c r="C10" s="12" t="n">
        <x:v>2324</x:v>
      </x:c>
      <x:c r="D10" s="12" t="n">
        <x:f>'Raw_New_Hampshire'!D4</x:f>
        <x:v>146.1</x:v>
      </x:c>
      <x:c r="E10" s="12" t="str">
        <x:v>Baseline 2012-2014</x:v>
      </x:c>
      <x:c r="F10" s="12" t="str">
        <x:v>CDC NCHS 113 Cause of Death</x:v>
      </x:c>
    </x:row>
    <x:row r="11">
      <x:c r="A11" s="12" t="str">
        <x:v>New Hampshire</x:v>
      </x:c>
      <x:c r="B11" s="12" t="n">
        <x:v>2013</x:v>
      </x:c>
      <x:c r="C11" s="12" t="n">
        <x:v>2434</x:v>
      </x:c>
      <x:c r="D11" s="12" t="n">
        <x:f>'Raw_New_Hampshire'!D5</x:f>
        <x:v>148.9</x:v>
      </x:c>
      <x:c r="E11" s="12" t="str">
        <x:v>Baseline 2012-2014</x:v>
      </x:c>
      <x:c r="F11" s="12" t="str">
        <x:v>CDC NCHS 113 Cause of Death</x:v>
      </x:c>
    </x:row>
    <x:row r="12">
      <x:c r="A12" s="12" t="str">
        <x:v>New Hampshire</x:v>
      </x:c>
      <x:c r="B12" s="12" t="n">
        <x:v>2014</x:v>
      </x:c>
      <x:c r="C12" s="12" t="n">
        <x:v>2464</x:v>
      </x:c>
      <x:c r="D12" s="12" t="n">
        <x:f>'Raw_New_Hampshire'!D6</x:f>
        <x:v>147.9</x:v>
      </x:c>
      <x:c r="E12" s="12" t="str">
        <x:v>Baseline 2012-2014</x:v>
      </x:c>
      <x:c r="F12" s="12" t="str">
        <x:v>CDC NCHS 113 Cause of Death</x:v>
      </x:c>
    </x:row>
    <x:row r="13">
      <x:c r="A13" s="12" t="str">
        <x:v>New Hampshire</x:v>
      </x:c>
      <x:c r="B13" s="12" t="n">
        <x:v>2015</x:v>
      </x:c>
      <x:c r="C13" s="12" t="n">
        <x:v>2571</x:v>
      </x:c>
      <x:c r="D13" s="12" t="n">
        <x:f>'Raw_New_Hampshire'!D7</x:f>
        <x:v>149</x:v>
      </x:c>
      <x:c r="E13" s="12" t="str">
        <x:v>Current 2015-2017</x:v>
      </x:c>
      <x:c r="F13" s="12" t="str">
        <x:v>CDC NCHS 113 Cause of Death</x:v>
      </x:c>
    </x:row>
    <x:row r="14">
      <x:c r="A14" s="12" t="str">
        <x:v>New Hampshire</x:v>
      </x:c>
      <x:c r="B14" s="12" t="n">
        <x:v>2016</x:v>
      </x:c>
      <x:c r="C14" s="12" t="n">
        <x:v>2631</x:v>
      </x:c>
      <x:c r="D14" s="12" t="n">
        <x:f>'Raw_New_Hampshire'!D8</x:f>
        <x:v>151.1</x:v>
      </x:c>
      <x:c r="E14" s="12" t="str">
        <x:v>Current 2015-2017</x:v>
      </x:c>
      <x:c r="F14" s="12" t="str">
        <x:v>CDC NCHS 113 Cause of Death</x:v>
      </x:c>
    </x:row>
    <x:row r="15">
      <x:c r="A15" s="12" t="str">
        <x:v>New Hampshire</x:v>
      </x:c>
      <x:c r="B15" s="12" t="n">
        <x:v>2017</x:v>
      </x:c>
      <x:c r="C15" s="12" t="n">
        <x:v>2721</x:v>
      </x:c>
      <x:c r="D15" s="12" t="n">
        <x:f>'Raw_New_Hampshire'!D9</x:f>
        <x:v>149.7</x:v>
      </x:c>
      <x:c r="E15" s="12" t="str">
        <x:v>Current 2015-2017</x:v>
      </x:c>
      <x:c r="F15" s="12" t="str">
        <x:v>CDC NCHS 113 Cause of Death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 t="n">
        <x:f>AVERAGE('Analytical_Data'!D4:D6)</x:f>
        <x:v>152.26666666666665</x:v>
      </x:c>
      <x:c r="C4" s="15" t="n">
        <x:f>AVERAGE('Analytical_Data'!D7:D9)</x:f>
        <x:v>154.6</x:v>
      </x:c>
      <x:c r="D4" s="15" t="n">
        <x:f>C4-B4</x:f>
        <x:v>2.333333333333343</x:v>
      </x:c>
      <x:c r="E4" s="16" t="n">
        <x:f>D4/B4</x:f>
        <x:v>0.015323992994746124</x:v>
      </x:c>
      <x:c r="F4" s="12" t="str">
        <x:v>Compare 2012-2014 to 2015-2017</x:v>
      </x:c>
    </x:row>
    <x:row r="5">
      <x:c r="A5" s="12" t="str">
        <x:v>New Hampshire</x:v>
      </x:c>
      <x:c r="B5" s="15" t="n">
        <x:f>AVERAGE('Analytical_Data'!D10:D12)</x:f>
        <x:v>147.63333333333333</x:v>
      </x:c>
      <x:c r="C5" s="15" t="n">
        <x:f>AVERAGE('Analytical_Data'!D13:D15)</x:f>
        <x:v>149.93333333333334</x:v>
      </x:c>
      <x:c r="D5" s="15" t="n">
        <x:f>C5-B5</x:f>
        <x:v>2.3000000000000114</x:v>
      </x:c>
      <x:c r="E5" s="16" t="n">
        <x:f>D5/B5</x:f>
        <x:v>0.015579137502822386</x:v>
      </x:c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 t="n">
        <x:f>'Period_Metrics'!D4</x:f>
        <x:v>2.333333333333343</x:v>
      </x:c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 t="n">
        <x:f>'Period_Metrics'!D5</x:f>
        <x:v>2.3000000000000114</x:v>
      </x:c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 t="str">
        <x:f>IF('Period_Metrics'!C4&gt;'Period_Metrics'!C5,"Vermont","New Hampshire")</x:f>
        <x:v>Vermont</x:v>
      </x:c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 t="n">
        <x:f>'Period_Metrics'!C4</x:f>
        <x:v>154.6</x:v>
      </x:c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 t="n">
        <x:f>'Period_Metrics'!C5</x:f>
        <x:v>149.93333333333334</x:v>
      </x:c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8e55d0d955b4b10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 t="n">
        <x:f>IF('Analytical_Data'!A4&lt;&gt;"",1,0)+IF('Analytical_Data'!A5&lt;&gt;"",1,0)+IF('Analytical_Data'!A6&lt;&gt;"",1,0)+IF('Analytical_Data'!A7&lt;&gt;"",1,0)+IF('Analytical_Data'!A8&lt;&gt;"",1,0)+IF('Analytical_Data'!A9&lt;&gt;"",1,0)+IF('Analytical_Data'!A10&lt;&gt;"",1,0)+IF('Analytical_Data'!A11&lt;&gt;"",1,0)+IF('Analytical_Data'!A12&lt;&gt;"",1,0)+IF('Analytical_Data'!A13&lt;&gt;"",1,0)+IF('Analytical_Data'!A14&lt;&gt;"",1,0)+IF('Analytical_Data'!A15&lt;&gt;"",1,0)</x:f>
        <x:v>12</x:v>
      </x:c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 t="n">
        <x:f>IF('Period_Metrics'!A4&lt;&gt;"",1,0)+IF('Period_Metrics'!A5&lt;&gt;"",1,0)</x:f>
        <x:v>2</x:v>
      </x:c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 t="n">
        <x:f>'Report'!B4+'Report'!B5-'Period_Metrics'!D4-'Period_Metrics'!D5</x:f>
        <x:v>0</x:v>
      </x:c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