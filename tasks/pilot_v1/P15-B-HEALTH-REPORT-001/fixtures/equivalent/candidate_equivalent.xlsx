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7dbb84a42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Vermont" sheetId="1" r:id="R646c22a1077743a4"/>
    <x:sheet xmlns:r="http://schemas.openxmlformats.org/officeDocument/2006/relationships" name="Raw_New_Hampshire" sheetId="2" r:id="R24d4d780979f449b"/>
    <x:sheet xmlns:r="http://schemas.openxmlformats.org/officeDocument/2006/relationships" name="Geo_Map" sheetId="3" r:id="R37ff98732c5548ef"/>
    <x:sheet xmlns:r="http://schemas.openxmlformats.org/officeDocument/2006/relationships" name="Analytical_Data" sheetId="4" r:id="R9d14648f743b462b"/>
    <x:sheet xmlns:r="http://schemas.openxmlformats.org/officeDocument/2006/relationships" name="Period_Metrics" sheetId="5" r:id="Rf725ddc7b1ee4ba9"/>
    <x:sheet xmlns:r="http://schemas.openxmlformats.org/officeDocument/2006/relationships" name="Report" sheetId="6" r:id="Ra580da2ea88f434c"/>
    <x:sheet xmlns:r="http://schemas.openxmlformats.org/officeDocument/2006/relationships" name="Visualization" sheetId="7" r:id="R65fcc7636a6446e3"/>
    <x:sheet xmlns:r="http://schemas.openxmlformats.org/officeDocument/2006/relationships" name="Checks" sheetId="8" r:id="Raf041e494e9e4f2c"/>
    <x:sheet xmlns:r="http://schemas.openxmlformats.org/officeDocument/2006/relationships" name="Metric_Control" sheetId="9" r:id="Red2a0df6ff244e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%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8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  <x:border/>
    <x:border/>
    <x:border/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202" fontId="0" fillId="0" borderId="3" xfId="0" applyNumberFormat="1" applyFont="1" applyFill="1" applyBorder="1"/>
    <x:xf numFmtId="202" fontId="0" fillId="0" borderId="6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680e521554584" /><Relationship Type="http://schemas.openxmlformats.org/officeDocument/2006/relationships/theme" Target="/xl/theme/theme1.xml" Id="R45bba5f5f9a04cc1" /><Relationship Type="http://schemas.openxmlformats.org/officeDocument/2006/relationships/sharedStrings" Target="/xl/sharedStrings.xml" Id="R1b111c21115746d1" /><Relationship Type="http://schemas.openxmlformats.org/officeDocument/2006/relationships/worksheet" Target="/xl/worksheets/sheet1.xml" Id="R646c22a1077743a4" /><Relationship Type="http://schemas.openxmlformats.org/officeDocument/2006/relationships/worksheet" Target="/xl/worksheets/sheet2.xml" Id="R24d4d780979f449b" /><Relationship Type="http://schemas.openxmlformats.org/officeDocument/2006/relationships/worksheet" Target="/xl/worksheets/sheet3.xml" Id="R37ff98732c5548ef" /><Relationship Type="http://schemas.openxmlformats.org/officeDocument/2006/relationships/worksheet" Target="/xl/worksheets/sheet4.xml" Id="R9d14648f743b462b" /><Relationship Type="http://schemas.openxmlformats.org/officeDocument/2006/relationships/worksheet" Target="/xl/worksheets/sheet5.xml" Id="Rf725ddc7b1ee4ba9" /><Relationship Type="http://schemas.openxmlformats.org/officeDocument/2006/relationships/worksheet" Target="/xl/worksheets/sheet6.xml" Id="Ra580da2ea88f434c" /><Relationship Type="http://schemas.openxmlformats.org/officeDocument/2006/relationships/worksheet" Target="/xl/worksheets/sheet7.xml" Id="R65fcc7636a6446e3" /><Relationship Type="http://schemas.openxmlformats.org/officeDocument/2006/relationships/worksheet" Target="/xl/worksheets/sheet8.xml" Id="Raf041e494e9e4f2c" /><Relationship Type="http://schemas.openxmlformats.org/officeDocument/2006/relationships/worksheet" Target="/xl/worksheets/sheet9.xml" Id="Red2a0df6ff244e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86fe6998e8547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2015-2017 heart-disease AADR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AADR</c:v>
          </c:tx>
          <c:cat>
            <c:strRef>
              <c:f>'Visualization'!$A$4:$A$5</c:f>
              <c:strCache>
                <c:ptCount val="0"/>
              </c:strCache>
            </c:strRef>
          </c:cat>
          <c:val>
            <c:numRef>
              <c:f>'Visualization'!$B$4:$B$5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86fe6998e85470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6ed13e6ce16643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Vermont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v>150.6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v>149.6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v>156.6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v>152.5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v>158.8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v>152.5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4" hidden="0" customWidth="1"/>
  </x:cols>
  <x:sheetData>
    <x:row r="1" ht="26" customHeight="1">
      <x:c r="A1" s="13" t="str">
        <x:v>CDC Heart-disease Mortality Extract — New Hampshire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</x:row>
    <x:row r="4">
      <x:c r="A4" s="12" t="str">
        <x:v>New Hampshire</x:v>
      </x:c>
      <x:c r="B4" s="12" t="n">
        <x:v>2012</x:v>
      </x:c>
      <x:c r="C4" s="12" t="n">
        <x:v>2324</x:v>
      </x:c>
      <x:c r="D4" s="12" t="n">
        <x:v>146.1</x:v>
      </x:c>
    </x:row>
    <x:row r="5">
      <x:c r="A5" s="12" t="str">
        <x:v>New Hampshire</x:v>
      </x:c>
      <x:c r="B5" s="12" t="n">
        <x:v>2013</x:v>
      </x:c>
      <x:c r="C5" s="12" t="n">
        <x:v>2434</x:v>
      </x:c>
      <x:c r="D5" s="12" t="n">
        <x:v>148.9</x:v>
      </x:c>
    </x:row>
    <x:row r="6">
      <x:c r="A6" s="12" t="str">
        <x:v>New Hampshire</x:v>
      </x:c>
      <x:c r="B6" s="12" t="n">
        <x:v>2014</x:v>
      </x:c>
      <x:c r="C6" s="12" t="n">
        <x:v>2464</x:v>
      </x:c>
      <x:c r="D6" s="12" t="n">
        <x:v>147.9</x:v>
      </x:c>
    </x:row>
    <x:row r="7">
      <x:c r="A7" s="12" t="str">
        <x:v>New Hampshire</x:v>
      </x:c>
      <x:c r="B7" s="12" t="n">
        <x:v>2015</x:v>
      </x:c>
      <x:c r="C7" s="12" t="n">
        <x:v>2571</x:v>
      </x:c>
      <x:c r="D7" s="12" t="n">
        <x:v>149</x:v>
      </x:c>
    </x:row>
    <x:row r="8">
      <x:c r="A8" s="12" t="str">
        <x:v>New Hampshire</x:v>
      </x:c>
      <x:c r="B8" s="12" t="n">
        <x:v>2016</x:v>
      </x:c>
      <x:c r="C8" s="12" t="n">
        <x:v>2631</x:v>
      </x:c>
      <x:c r="D8" s="12" t="n">
        <x:v>151.1</x:v>
      </x:c>
    </x:row>
    <x:row r="9">
      <x:c r="A9" s="12" t="str">
        <x:v>New Hampshire</x:v>
      </x:c>
      <x:c r="B9" s="12" t="n">
        <x:v>2017</x:v>
      </x:c>
      <x:c r="C9" s="12" t="n">
        <x:v>2721</x:v>
      </x:c>
      <x:c r="D9" s="12" t="n">
        <x:v>149.7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7" hidden="0" customWidth="1"/>
  </x:cols>
  <x:sheetData>
    <x:row r="1" ht="26" customHeight="1">
      <x:c r="A1" s="13" t="str">
        <x:v>Geography Reporting Map</x:v>
      </x:c>
      <x:c r="B1" s="13"/>
      <x:c r="C1" s="13"/>
    </x:row>
    <x:row r="2">
      <x:c r="A2" s="14"/>
      <x:c r="B2" s="14"/>
      <x:c r="C2" s="14"/>
    </x:row>
    <x:row r="3">
      <x:c r="A3" s="9" t="str">
        <x:v>State</x:v>
      </x:c>
      <x:c r="B3" s="9" t="str">
        <x:v>Reporting region</x:v>
      </x:c>
      <x:c r="C3" s="9" t="str">
        <x:v>Source key</x:v>
      </x:c>
    </x:row>
    <x:row r="4">
      <x:c r="A4" s="12" t="str">
        <x:v>Vermont</x:v>
      </x:c>
      <x:c r="B4" s="12" t="str">
        <x:v>Northern New England</x:v>
      </x:c>
      <x:c r="C4" s="12" t="str">
        <x:v>VT</x:v>
      </x:c>
    </x:row>
    <x:row r="5">
      <x:c r="A5" s="12" t="str">
        <x:v>New Hampshire</x:v>
      </x:c>
      <x:c r="B5" s="12" t="str">
        <x:v>Northern New England</x:v>
      </x:c>
      <x:c r="C5" s="12" t="str">
        <x:v>NH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3" hidden="0" customWidth="1"/>
    <x:col min="5" max="5" width="24" hidden="0" customWidth="1"/>
    <x:col min="6" max="6" width="35" hidden="0" customWidth="1"/>
  </x:cols>
  <x:sheetData>
    <x:row r="1" ht="26" customHeight="1">
      <x:c r="A1" s="13" t="str">
        <x:v>Aligned Annual Heart-disease Mortality Data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Year</x:v>
      </x:c>
      <x:c r="C3" s="9" t="str">
        <x:v>Deaths</x:v>
      </x:c>
      <x:c r="D3" s="9" t="str">
        <x:v>Age-adjusted rate</x:v>
      </x:c>
      <x:c r="E3" s="9" t="str">
        <x:v>Period</x:v>
      </x:c>
      <x:c r="F3" s="9" t="str">
        <x:v>Source</x:v>
      </x:c>
    </x:row>
    <x:row r="4">
      <x:c r="A4" s="12" t="str">
        <x:v>Vermont</x:v>
      </x:c>
      <x:c r="B4" s="12" t="n">
        <x:v>2012</x:v>
      </x:c>
      <x:c r="C4" s="12" t="n">
        <x:v>1206</x:v>
      </x:c>
      <x:c r="D4" s="12" t="n">
        <x:f>'Raw_Vermont'!D4</x:f>
        <x:v>150.6</x:v>
      </x:c>
      <x:c r="E4" s="12" t="str">
        <x:v>Baseline 2012-2014</x:v>
      </x:c>
      <x:c r="F4" s="12" t="str">
        <x:v>CDC NCHS 113 Cause of Death</x:v>
      </x:c>
    </x:row>
    <x:row r="5">
      <x:c r="A5" s="12" t="str">
        <x:v>Vermont</x:v>
      </x:c>
      <x:c r="B5" s="12" t="n">
        <x:v>2013</x:v>
      </x:c>
      <x:c r="C5" s="12" t="n">
        <x:v>1220</x:v>
      </x:c>
      <x:c r="D5" s="12" t="n">
        <x:f>'Raw_Vermont'!D5</x:f>
        <x:v>149.6</x:v>
      </x:c>
      <x:c r="E5" s="12" t="str">
        <x:v>Baseline 2012-2014</x:v>
      </x:c>
      <x:c r="F5" s="12" t="str">
        <x:v>CDC NCHS 113 Cause of Death</x:v>
      </x:c>
    </x:row>
    <x:row r="6">
      <x:c r="A6" s="12" t="str">
        <x:v>Vermont</x:v>
      </x:c>
      <x:c r="B6" s="12" t="n">
        <x:v>2014</x:v>
      </x:c>
      <x:c r="C6" s="12" t="n">
        <x:v>1311</x:v>
      </x:c>
      <x:c r="D6" s="12" t="n">
        <x:f>'Raw_Vermont'!D6</x:f>
        <x:v>156.6</x:v>
      </x:c>
      <x:c r="E6" s="12" t="str">
        <x:v>Baseline 2012-2014</x:v>
      </x:c>
      <x:c r="F6" s="12" t="str">
        <x:v>CDC NCHS 113 Cause of Death</x:v>
      </x:c>
    </x:row>
    <x:row r="7">
      <x:c r="A7" s="12" t="str">
        <x:v>Vermont</x:v>
      </x:c>
      <x:c r="B7" s="12" t="n">
        <x:v>2015</x:v>
      </x:c>
      <x:c r="C7" s="12" t="n">
        <x:v>1311</x:v>
      </x:c>
      <x:c r="D7" s="12" t="n">
        <x:f>'Raw_Vermont'!D7</x:f>
        <x:v>152.5</x:v>
      </x:c>
      <x:c r="E7" s="12" t="str">
        <x:v>Current 2015-2017</x:v>
      </x:c>
      <x:c r="F7" s="12" t="str">
        <x:v>CDC NCHS 113 Cause of Death</x:v>
      </x:c>
    </x:row>
    <x:row r="8">
      <x:c r="A8" s="12" t="str">
        <x:v>Vermont</x:v>
      </x:c>
      <x:c r="B8" s="12" t="n">
        <x:v>2016</x:v>
      </x:c>
      <x:c r="C8" s="12" t="n">
        <x:v>1366</x:v>
      </x:c>
      <x:c r="D8" s="12" t="n">
        <x:f>'Raw_Vermont'!D8</x:f>
        <x:v>158.8</x:v>
      </x:c>
      <x:c r="E8" s="12" t="str">
        <x:v>Current 2015-2017</x:v>
      </x:c>
      <x:c r="F8" s="12" t="str">
        <x:v>CDC NCHS 113 Cause of Death</x:v>
      </x:c>
    </x:row>
    <x:row r="9">
      <x:c r="A9" s="12" t="str">
        <x:v>Vermont</x:v>
      </x:c>
      <x:c r="B9" s="12" t="n">
        <x:v>2017</x:v>
      </x:c>
      <x:c r="C9" s="12" t="n">
        <x:v>1332</x:v>
      </x:c>
      <x:c r="D9" s="12" t="n">
        <x:f>'Raw_Vermont'!D9</x:f>
        <x:v>152.5</x:v>
      </x:c>
      <x:c r="E9" s="12" t="str">
        <x:v>Current 2015-2017</x:v>
      </x:c>
      <x:c r="F9" s="12" t="str">
        <x:v>CDC NCHS 113 Cause of Death</x:v>
      </x:c>
    </x:row>
    <x:row r="10">
      <x:c r="A10" s="12" t="str">
        <x:v>New Hampshire</x:v>
      </x:c>
      <x:c r="B10" s="12" t="n">
        <x:v>2012</x:v>
      </x:c>
      <x:c r="C10" s="12" t="n">
        <x:v>2324</x:v>
      </x:c>
      <x:c r="D10" s="12" t="n">
        <x:f>'Raw_New_Hampshire'!D4</x:f>
        <x:v>146.1</x:v>
      </x:c>
      <x:c r="E10" s="12" t="str">
        <x:v>Baseline 2012-2014</x:v>
      </x:c>
      <x:c r="F10" s="12" t="str">
        <x:v>CDC NCHS 113 Cause of Death</x:v>
      </x:c>
    </x:row>
    <x:row r="11">
      <x:c r="A11" s="12" t="str">
        <x:v>New Hampshire</x:v>
      </x:c>
      <x:c r="B11" s="12" t="n">
        <x:v>2013</x:v>
      </x:c>
      <x:c r="C11" s="12" t="n">
        <x:v>2434</x:v>
      </x:c>
      <x:c r="D11" s="12" t="n">
        <x:f>'Raw_New_Hampshire'!D5</x:f>
        <x:v>148.9</x:v>
      </x:c>
      <x:c r="E11" s="12" t="str">
        <x:v>Baseline 2012-2014</x:v>
      </x:c>
      <x:c r="F11" s="12" t="str">
        <x:v>CDC NCHS 113 Cause of Death</x:v>
      </x:c>
    </x:row>
    <x:row r="12">
      <x:c r="A12" s="12" t="str">
        <x:v>New Hampshire</x:v>
      </x:c>
      <x:c r="B12" s="12" t="n">
        <x:v>2014</x:v>
      </x:c>
      <x:c r="C12" s="12" t="n">
        <x:v>2464</x:v>
      </x:c>
      <x:c r="D12" s="12" t="n">
        <x:f>'Raw_New_Hampshire'!D6</x:f>
        <x:v>147.9</x:v>
      </x:c>
      <x:c r="E12" s="12" t="str">
        <x:v>Baseline 2012-2014</x:v>
      </x:c>
      <x:c r="F12" s="12" t="str">
        <x:v>CDC NCHS 113 Cause of Death</x:v>
      </x:c>
    </x:row>
    <x:row r="13">
      <x:c r="A13" s="12" t="str">
        <x:v>New Hampshire</x:v>
      </x:c>
      <x:c r="B13" s="12" t="n">
        <x:v>2015</x:v>
      </x:c>
      <x:c r="C13" s="12" t="n">
        <x:v>2571</x:v>
      </x:c>
      <x:c r="D13" s="12" t="n">
        <x:f>'Raw_New_Hampshire'!D7</x:f>
        <x:v>149</x:v>
      </x:c>
      <x:c r="E13" s="12" t="str">
        <x:v>Current 2015-2017</x:v>
      </x:c>
      <x:c r="F13" s="12" t="str">
        <x:v>CDC NCHS 113 Cause of Death</x:v>
      </x:c>
    </x:row>
    <x:row r="14">
      <x:c r="A14" s="12" t="str">
        <x:v>New Hampshire</x:v>
      </x:c>
      <x:c r="B14" s="12" t="n">
        <x:v>2016</x:v>
      </x:c>
      <x:c r="C14" s="12" t="n">
        <x:v>2631</x:v>
      </x:c>
      <x:c r="D14" s="12" t="n">
        <x:f>'Raw_New_Hampshire'!D8</x:f>
        <x:v>151.1</x:v>
      </x:c>
      <x:c r="E14" s="12" t="str">
        <x:v>Current 2015-2017</x:v>
      </x:c>
      <x:c r="F14" s="12" t="str">
        <x:v>CDC NCHS 113 Cause of Death</x:v>
      </x:c>
    </x:row>
    <x:row r="15">
      <x:c r="A15" s="12" t="str">
        <x:v>New Hampshire</x:v>
      </x:c>
      <x:c r="B15" s="12" t="n">
        <x:v>2017</x:v>
      </x:c>
      <x:c r="C15" s="12" t="n">
        <x:v>2721</x:v>
      </x:c>
      <x:c r="D15" s="12" t="n">
        <x:f>'Raw_New_Hampshire'!D9</x:f>
        <x:v>149.7</x:v>
      </x:c>
      <x:c r="E15" s="12" t="str">
        <x:v>Current 2015-2017</x:v>
      </x:c>
      <x:c r="F15" s="12" t="str">
        <x:v>CDC NCHS 113 Cause of Death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40" hidden="0" customWidth="1"/>
  </x:cols>
  <x:sheetData>
    <x:row r="1" ht="26" customHeight="1">
      <x:c r="A1" s="13" t="str">
        <x:v>Three-year Period Comparison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9" t="str">
        <x:v>State</x:v>
      </x:c>
      <x:c r="B3" s="9" t="str">
        <x:v>Baseline AADR</x:v>
      </x:c>
      <x:c r="C3" s="9" t="str">
        <x:v>Current AADR</x:v>
      </x:c>
      <x:c r="D3" s="9" t="str">
        <x:v>Absolute change</x:v>
      </x:c>
      <x:c r="E3" s="9" t="str">
        <x:v>Percent change</x:v>
      </x:c>
      <x:c r="F3" s="9" t="str">
        <x:v>Interpretation</x:v>
      </x:c>
    </x:row>
    <x:row r="4">
      <x:c r="A4" s="12" t="str">
        <x:v>Vermont</x:v>
      </x:c>
      <x:c r="B4" s="15" t="n">
        <x:f>'Metric_Control'!B4</x:f>
        <x:v>152.26666666666665</x:v>
      </x:c>
      <x:c r="C4" s="15" t="n">
        <x:f>'Metric_Control'!C4</x:f>
        <x:v>154.6</x:v>
      </x:c>
      <x:c r="D4" s="15" t="n">
        <x:f>'Metric_Control'!D4</x:f>
        <x:v>2.333333333333343</x:v>
      </x:c>
      <x:c r="E4" s="16" t="n">
        <x:f>'Metric_Control'!E4</x:f>
        <x:v>0.015323992994746124</x:v>
      </x:c>
      <x:c r="F4" s="12" t="str">
        <x:v>Compare 2012-2014 to 2015-2017</x:v>
      </x:c>
    </x:row>
    <x:row r="5">
      <x:c r="A5" s="12" t="str">
        <x:v>New Hampshire</x:v>
      </x:c>
      <x:c r="B5" s="15" t="n">
        <x:f>'Metric_Control'!B5</x:f>
        <x:v>147.63333333333333</x:v>
      </x:c>
      <x:c r="C5" s="15" t="n">
        <x:f>'Metric_Control'!C5</x:f>
        <x:v>149.93333333333334</x:v>
      </x:c>
      <x:c r="D5" s="15" t="n">
        <x:f>'Metric_Control'!D5</x:f>
        <x:v>2.3000000000000114</x:v>
      </x:c>
      <x:c r="E5" s="16" t="n">
        <x:f>'Metric_Control'!E5</x:f>
        <x:v>0.015579137502822386</x:v>
      </x:c>
      <x:c r="F5" s="12" t="str">
        <x:v>Compare 2012-2014 to 2015-2017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32" hidden="0" customWidth="1"/>
    <x:col min="4" max="4" width="25" hidden="0" customWidth="1"/>
  </x:cols>
  <x:sheetData>
    <x:row r="1" ht="26" customHeight="1">
      <x:c r="A1" s="13" t="str">
        <x:v>Health-program 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Claim</x:v>
      </x:c>
      <x:c r="B3" s="9" t="str">
        <x:v>Value</x:v>
      </x:c>
      <x:c r="C3" s="9" t="str">
        <x:v>Decision use</x:v>
      </x:c>
      <x:c r="D3" s="9" t="str">
        <x:v>Evidence</x:v>
      </x:c>
    </x:row>
    <x:row r="4">
      <x:c r="A4" s="12" t="str">
        <x:v>Vermont rate change</x:v>
      </x:c>
      <x:c r="B4" s="15" t="n">
        <x:f>'Period_Metrics'!D4</x:f>
        <x:v>2.333333333333343</x:v>
      </x:c>
      <x:c r="C4" s="12" t="str">
        <x:v>Monitor rate movement</x:v>
      </x:c>
      <x:c r="D4" s="12" t="str">
        <x:v>Period_Metrics</x:v>
      </x:c>
    </x:row>
    <x:row r="5">
      <x:c r="A5" s="12" t="str">
        <x:v>New Hampshire rate change</x:v>
      </x:c>
      <x:c r="B5" s="15" t="n">
        <x:f>'Period_Metrics'!D5</x:f>
        <x:v>2.3000000000000114</x:v>
      </x:c>
      <x:c r="C5" s="12" t="str">
        <x:v>Compare regional trajectory</x:v>
      </x:c>
      <x:c r="D5" s="12" t="str">
        <x:v>Period_Metrics</x:v>
      </x:c>
    </x:row>
    <x:row r="6">
      <x:c r="A6" s="12" t="str">
        <x:v>Highest current AADR</x:v>
      </x:c>
      <x:c r="B6" s="12" t="str">
        <x:f>IF('Period_Metrics'!C4&gt;'Period_Metrics'!C5,"Vermont","New Hampshire")</x:f>
        <x:v>Vermont</x:v>
      </x:c>
      <x:c r="C6" s="12" t="str">
        <x:v>Prioritize analytic follow-up</x:v>
      </x:c>
      <x:c r="D6" s="12" t="str">
        <x:v>Period_Metrics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</x:cols>
  <x:sheetData>
    <x:row r="1" ht="26" customHeight="1">
      <x:c r="A1" s="13" t="str">
        <x:v>Current-period Age-adjusted Rate Comparison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State</x:v>
      </x:c>
      <x:c r="B3" s="9" t="str">
        <x:v>Current AADR</x:v>
      </x:c>
      <x:c r="C3" s="14"/>
      <x:c r="D3" s="14"/>
      <x:c r="E3" s="14"/>
      <x:c r="F3" s="14"/>
      <x:c r="G3" s="14"/>
      <x:c r="H3" s="14"/>
    </x:row>
    <x:row r="4">
      <x:c r="A4" s="12" t="str">
        <x:v>Vermont</x:v>
      </x:c>
      <x:c r="B4" s="12" t="n">
        <x:f>'Period_Metrics'!C4</x:f>
        <x:v>154.6</x:v>
      </x:c>
      <x:c r="C4" s="14"/>
      <x:c r="D4" s="14"/>
      <x:c r="E4" s="14"/>
      <x:c r="F4" s="14"/>
      <x:c r="G4" s="14"/>
      <x:c r="H4" s="14"/>
    </x:row>
    <x:row r="5">
      <x:c r="A5" s="12" t="str">
        <x:v>New Hampshire</x:v>
      </x:c>
      <x:c r="B5" s="12" t="n">
        <x:f>'Period_Metrics'!C5</x:f>
        <x:v>149.93333333333334</x:v>
      </x:c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ed13e6ce1664355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0" hidden="0" customWidth="1"/>
    <x:col min="4" max="4" width="35" hidden="0" customWidth="1"/>
  </x:cols>
  <x:sheetData>
    <x:row r="1" ht="26" customHeight="1">
      <x:c r="A1" s="13" t="str">
        <x:v>Time-series Alignment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Vermont baseline rows</x:v>
      </x:c>
      <x:c r="B4" s="12" t="n">
        <x:f>IF('Analytical_Data'!A4&lt;&gt;"",1,0)+IF('Analytical_Data'!A5&lt;&gt;"",1,0)+IF('Analytical_Data'!A6&lt;&gt;"",1,0)+IF('Analytical_Data'!A7&lt;&gt;"",1,0)+IF('Analytical_Data'!A8&lt;&gt;"",1,0)+IF('Analytical_Data'!A9&lt;&gt;"",1,0)+IF('Analytical_Data'!A10&lt;&gt;"",1,0)+IF('Analytical_Data'!A11&lt;&gt;"",1,0)+IF('Analytical_Data'!A12&lt;&gt;"",1,0)+IF('Analytical_Data'!A13&lt;&gt;"",1,0)+IF('Analytical_Data'!A14&lt;&gt;"",1,0)+IF('Analytical_Data'!A15&lt;&gt;"",1,0)</x:f>
        <x:v>12</x:v>
      </x:c>
      <x:c r="C4" s="12" t="n">
        <x:v>3</x:v>
      </x:c>
      <x:c r="D4" s="12" t="str">
        <x:v>2012-2014 only</x:v>
      </x:c>
    </x:row>
    <x:row r="5">
      <x:c r="A5" s="12" t="str">
        <x:v>New Hampshire current rows</x:v>
      </x:c>
      <x:c r="B5" s="12" t="n">
        <x:f>IF('Period_Metrics'!A4&lt;&gt;"",1,0)+IF('Period_Metrics'!A5&lt;&gt;"",1,0)</x:f>
        <x:v>2</x:v>
      </x:c>
      <x:c r="C5" s="12" t="n">
        <x:v>3</x:v>
      </x:c>
      <x:c r="D5" s="12" t="str">
        <x:v>2015-2017 only</x:v>
      </x:c>
    </x:row>
    <x:row r="6">
      <x:c r="A6" s="12" t="str">
        <x:v>Report formula links</x:v>
      </x:c>
      <x:c r="B6" s="12" t="n">
        <x:f>'Report'!B4+'Report'!B5-'Period_Metrics'!D4-'Period_Metrics'!D5</x:f>
        <x:v>0</x:v>
      </x:c>
      <x:c r="C6" s="12" t="str">
        <x:v>PASS</x:v>
      </x:c>
      <x:c r="D6" s="12" t="str">
        <x:v>Claims point to metrics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20" hidden="0" customWidth="1"/>
  </x:cols>
  <x:sheetData>
    <x:row r="1">
      <x:c r="A1" s="18" t="str">
        <x:v>Alternative Period Metric Control</x:v>
      </x:c>
      <x:c r="B1" s="18"/>
      <x:c r="C1" s="18"/>
      <x:c r="D1" s="18"/>
      <x:c r="E1" s="18"/>
      <x:c r="F1" s="18"/>
    </x:row>
    <x:row r="3">
      <x:c r="A3" s="28" t="str">
        <x:v>State</x:v>
      </x:c>
      <x:c r="B3" s="28" t="str">
        <x:v>Baseline AADR</x:v>
      </x:c>
      <x:c r="C3" s="28" t="str">
        <x:v>Current AADR</x:v>
      </x:c>
      <x:c r="D3" s="28" t="str">
        <x:v>Absolute change</x:v>
      </x:c>
      <x:c r="E3" s="28" t="str">
        <x:v>Percent change</x:v>
      </x:c>
      <x:c r="F3" s="28" t="str">
        <x:v>Source</x:v>
      </x:c>
    </x:row>
    <x:row r="4">
      <x:c r="A4" s="22" t="str">
        <x:v>Vermont</x:v>
      </x:c>
      <x:c r="B4" s="29" t="n">
        <x:f>AVERAGE('Analytical_Data'!D4:D6)</x:f>
        <x:v>152.26666666666665</x:v>
      </x:c>
      <x:c r="C4" s="29" t="n">
        <x:f>AVERAGE('Analytical_Data'!D7:D9)</x:f>
        <x:v>154.6</x:v>
      </x:c>
      <x:c r="D4" s="29" t="n">
        <x:f>C4-B4</x:f>
        <x:v>2.333333333333343</x:v>
      </x:c>
      <x:c r="E4" s="31" t="n">
        <x:f>D4/B4</x:f>
        <x:v>0.015323992994746124</x:v>
      </x:c>
      <x:c r="F4" s="24" t="str">
        <x:v>Analytical_Data</x:v>
      </x:c>
    </x:row>
    <x:row r="5">
      <x:c r="A5" s="25" t="str">
        <x:v>New Hampshire</x:v>
      </x:c>
      <x:c r="B5" s="30" t="n">
        <x:f>AVERAGE('Analytical_Data'!D10:D12)</x:f>
        <x:v>147.63333333333333</x:v>
      </x:c>
      <x:c r="C5" s="30" t="n">
        <x:f>AVERAGE('Analytical_Data'!D13:D15)</x:f>
        <x:v>149.93333333333334</x:v>
      </x:c>
      <x:c r="D5" s="30" t="n">
        <x:f>C5-B5</x:f>
        <x:v>2.3000000000000114</x:v>
      </x:c>
      <x:c r="E5" s="32" t="n">
        <x:f>D5/B5</x:f>
        <x:v>0.015579137502822386</x:v>
      </x:c>
      <x:c r="F5" s="27" t="str">
        <x:v>Analytical_Data</x:v>
      </x:c>
    </x:row>
  </x:sheetData>
  <x:mergeCells>
    <x:mergeCell ref="A1:F1"/>
  </x:mergeCells>
  <x:pageMargins left="0.7" right="0.7" top="0.75" bottom="0.75" header="0.3" footer="0.3"/>
</x:worksheet>
</file>