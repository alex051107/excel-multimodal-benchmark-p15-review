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aw_Vermont" sheetId="1" state="visible" r:id="rId1"/>
    <sheet xmlns:r="http://schemas.openxmlformats.org/officeDocument/2006/relationships" name="Raw_New_Hampshire" sheetId="2" state="visible" r:id="rId2"/>
    <sheet xmlns:r="http://schemas.openxmlformats.org/officeDocument/2006/relationships" name="Geo_Map" sheetId="3" state="visible" r:id="rId3"/>
    <sheet xmlns:r="http://schemas.openxmlformats.org/officeDocument/2006/relationships" name="Analytical_Data" sheetId="4" state="visible" r:id="rId4"/>
    <sheet xmlns:r="http://schemas.openxmlformats.org/officeDocument/2006/relationships" name="Period_Metrics" sheetId="5" state="visible" r:id="rId5"/>
    <sheet xmlns:r="http://schemas.openxmlformats.org/officeDocument/2006/relationships" name="Report" sheetId="6" state="visible" r:id="rId6"/>
    <sheet xmlns:r="http://schemas.openxmlformats.org/officeDocument/2006/relationships" name="Visualization" sheetId="7" state="visible" r:id="rId7"/>
    <sheet xmlns:r="http://schemas.openxmlformats.org/officeDocument/2006/relationships" name="Checks" sheetId="8" state="visible" r:id="rId8"/>
  </sheets>
  <definedNames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1F2937"/>
      <sz val="11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2015-2017 heart-disease AADR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Current AADR</v>
          </tx>
          <spPr>
            <a:ln xmlns:a="http://schemas.openxmlformats.org/drawingml/2006/main">
              <a:prstDash val="solid"/>
            </a:ln>
          </spPr>
          <cat>
            <strRef>
              <f>'Visualization'!$A$4:$A$5</f>
              <strCache>
                <ptCount val="0"/>
              </strCache>
            </strRef>
          </cat>
          <val>
            <numRef>
              <f>'Visualization'!$B$4:$B$5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Offset val="10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3</col>
      <colOff>0</colOff>
      <row>2</row>
      <rowOff>0</rowOff>
    </from>
    <to>
      <col>8</col>
      <colOff>0</colOff>
      <row>14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24" customWidth="1" min="4" max="4"/>
  </cols>
  <sheetData>
    <row r="1" ht="26" customHeight="1">
      <c r="A1" s="13" t="inlineStr">
        <is>
          <t>CDC Heart-disease Mortality Extract — Vermont</t>
        </is>
      </c>
    </row>
    <row r="2">
      <c r="A2" s="14" t="n"/>
      <c r="B2" s="14" t="n"/>
      <c r="C2" s="14" t="n"/>
      <c r="D2" s="14" t="n"/>
    </row>
    <row r="3">
      <c r="A3" s="9" t="inlineStr">
        <is>
          <t>State</t>
        </is>
      </c>
      <c r="B3" s="9" t="inlineStr">
        <is>
          <t>Year</t>
        </is>
      </c>
      <c r="C3" s="9" t="inlineStr">
        <is>
          <t>Deaths</t>
        </is>
      </c>
      <c r="D3" s="9" t="inlineStr">
        <is>
          <t>Age-adjusted rate</t>
        </is>
      </c>
    </row>
    <row r="4">
      <c r="A4" s="12" t="inlineStr">
        <is>
          <t>VermontX</t>
        </is>
      </c>
      <c r="B4" s="12" t="n">
        <v>2012</v>
      </c>
      <c r="C4" s="12" t="n">
        <v>1206</v>
      </c>
      <c r="D4" s="12" t="n">
        <v>150.6</v>
      </c>
    </row>
    <row r="5">
      <c r="A5" s="12" t="inlineStr">
        <is>
          <t>Vermont</t>
        </is>
      </c>
      <c r="B5" s="12" t="n">
        <v>2013</v>
      </c>
      <c r="C5" s="12" t="n">
        <v>1220</v>
      </c>
      <c r="D5" s="12" t="n">
        <v>149.6</v>
      </c>
    </row>
    <row r="6">
      <c r="A6" s="12" t="inlineStr">
        <is>
          <t>Vermont</t>
        </is>
      </c>
      <c r="B6" s="12" t="n">
        <v>2014</v>
      </c>
      <c r="C6" s="12" t="n">
        <v>1311</v>
      </c>
      <c r="D6" s="12" t="n">
        <v>156.6</v>
      </c>
    </row>
    <row r="7">
      <c r="A7" s="12" t="inlineStr">
        <is>
          <t>Vermont</t>
        </is>
      </c>
      <c r="B7" s="12" t="n">
        <v>2015</v>
      </c>
      <c r="C7" s="12" t="n">
        <v>1311</v>
      </c>
      <c r="D7" s="12" t="n">
        <v>152.5</v>
      </c>
    </row>
    <row r="8">
      <c r="A8" s="12" t="inlineStr">
        <is>
          <t>Vermont</t>
        </is>
      </c>
      <c r="B8" s="12" t="n">
        <v>2016</v>
      </c>
      <c r="C8" s="12" t="n">
        <v>1366</v>
      </c>
      <c r="D8" s="12" t="n">
        <v>158.8</v>
      </c>
    </row>
    <row r="9">
      <c r="A9" s="12" t="inlineStr">
        <is>
          <t>Vermont</t>
        </is>
      </c>
      <c r="B9" s="12" t="n">
        <v>2017</v>
      </c>
      <c r="C9" s="12" t="n">
        <v>1332</v>
      </c>
      <c r="D9" s="12" t="n">
        <v>152.5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4" customWidth="1" min="4" max="4"/>
  </cols>
  <sheetData>
    <row r="1" ht="26" customHeight="1">
      <c r="A1" s="13" t="inlineStr">
        <is>
          <t>CDC Heart-disease Mortality Extract — New Hampshire</t>
        </is>
      </c>
    </row>
    <row r="2">
      <c r="A2" s="14" t="n"/>
      <c r="B2" s="14" t="n"/>
      <c r="C2" s="14" t="n"/>
      <c r="D2" s="14" t="n"/>
    </row>
    <row r="3">
      <c r="A3" s="9" t="inlineStr">
        <is>
          <t>State</t>
        </is>
      </c>
      <c r="B3" s="9" t="inlineStr">
        <is>
          <t>Year</t>
        </is>
      </c>
      <c r="C3" s="9" t="inlineStr">
        <is>
          <t>Deaths</t>
        </is>
      </c>
      <c r="D3" s="9" t="inlineStr">
        <is>
          <t>Age-adjusted rate</t>
        </is>
      </c>
    </row>
    <row r="4">
      <c r="A4" s="12" t="inlineStr">
        <is>
          <t>New Hampshire</t>
        </is>
      </c>
      <c r="B4" s="12" t="n">
        <v>2012</v>
      </c>
      <c r="C4" s="12" t="n">
        <v>2324</v>
      </c>
      <c r="D4" s="12" t="n">
        <v>146.1</v>
      </c>
    </row>
    <row r="5">
      <c r="A5" s="12" t="inlineStr">
        <is>
          <t>New Hampshire</t>
        </is>
      </c>
      <c r="B5" s="12" t="n">
        <v>2013</v>
      </c>
      <c r="C5" s="12" t="n">
        <v>2434</v>
      </c>
      <c r="D5" s="12" t="n">
        <v>148.9</v>
      </c>
    </row>
    <row r="6">
      <c r="A6" s="12" t="inlineStr">
        <is>
          <t>New Hampshire</t>
        </is>
      </c>
      <c r="B6" s="12" t="n">
        <v>2014</v>
      </c>
      <c r="C6" s="12" t="n">
        <v>2464</v>
      </c>
      <c r="D6" s="12" t="n">
        <v>147.9</v>
      </c>
    </row>
    <row r="7">
      <c r="A7" s="12" t="inlineStr">
        <is>
          <t>New Hampshire</t>
        </is>
      </c>
      <c r="B7" s="12" t="n">
        <v>2015</v>
      </c>
      <c r="C7" s="12" t="n">
        <v>2571</v>
      </c>
      <c r="D7" s="12" t="n">
        <v>149</v>
      </c>
    </row>
    <row r="8">
      <c r="A8" s="12" t="inlineStr">
        <is>
          <t>New Hampshire</t>
        </is>
      </c>
      <c r="B8" s="12" t="n">
        <v>2016</v>
      </c>
      <c r="C8" s="12" t="n">
        <v>2631</v>
      </c>
      <c r="D8" s="12" t="n">
        <v>151.1</v>
      </c>
    </row>
    <row r="9">
      <c r="A9" s="12" t="inlineStr">
        <is>
          <t>New Hampshire</t>
        </is>
      </c>
      <c r="B9" s="12" t="n">
        <v>2017</v>
      </c>
      <c r="C9" s="12" t="n">
        <v>2721</v>
      </c>
      <c r="D9" s="12" t="n">
        <v>149.7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7" customWidth="1" min="3" max="3"/>
  </cols>
  <sheetData>
    <row r="1" ht="26" customHeight="1">
      <c r="A1" s="13" t="inlineStr">
        <is>
          <t>Geography Reporting Map</t>
        </is>
      </c>
    </row>
    <row r="2">
      <c r="A2" s="14" t="n"/>
      <c r="B2" s="14" t="n"/>
      <c r="C2" s="14" t="n"/>
    </row>
    <row r="3">
      <c r="A3" s="9" t="inlineStr">
        <is>
          <t>State</t>
        </is>
      </c>
      <c r="B3" s="9" t="inlineStr">
        <is>
          <t>Reporting region</t>
        </is>
      </c>
      <c r="C3" s="9" t="inlineStr">
        <is>
          <t>Source key</t>
        </is>
      </c>
    </row>
    <row r="4">
      <c r="A4" s="12" t="inlineStr">
        <is>
          <t>Vermont</t>
        </is>
      </c>
      <c r="B4" s="12" t="inlineStr">
        <is>
          <t>Northern New England</t>
        </is>
      </c>
      <c r="C4" s="12" t="inlineStr">
        <is>
          <t>VT</t>
        </is>
      </c>
    </row>
    <row r="5">
      <c r="A5" s="12" t="inlineStr">
        <is>
          <t>New Hampshire</t>
        </is>
      </c>
      <c r="B5" s="12" t="inlineStr">
        <is>
          <t>Northern New England</t>
        </is>
      </c>
      <c r="C5" s="12" t="inlineStr">
        <is>
          <t>NH</t>
        </is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3" customWidth="1" min="4" max="4"/>
    <col width="24" customWidth="1" min="5" max="5"/>
    <col width="35" customWidth="1" min="6" max="6"/>
  </cols>
  <sheetData>
    <row r="1" ht="26" customHeight="1">
      <c r="A1" s="13" t="inlineStr">
        <is>
          <t>Aligned Annual Heart-disease Mortality Data</t>
        </is>
      </c>
    </row>
    <row r="2">
      <c r="A2" s="14" t="n"/>
      <c r="B2" s="14" t="n"/>
      <c r="C2" s="14" t="n"/>
      <c r="D2" s="14" t="n"/>
      <c r="E2" s="14" t="n"/>
      <c r="F2" s="14" t="n"/>
    </row>
    <row r="3">
      <c r="A3" s="9" t="inlineStr">
        <is>
          <t>State</t>
        </is>
      </c>
      <c r="B3" s="9" t="inlineStr">
        <is>
          <t>Year</t>
        </is>
      </c>
      <c r="C3" s="9" t="inlineStr">
        <is>
          <t>Deaths</t>
        </is>
      </c>
      <c r="D3" s="9" t="inlineStr">
        <is>
          <t>Age-adjusted rate</t>
        </is>
      </c>
      <c r="E3" s="9" t="inlineStr">
        <is>
          <t>Period</t>
        </is>
      </c>
      <c r="F3" s="9" t="inlineStr">
        <is>
          <t>Source</t>
        </is>
      </c>
    </row>
    <row r="4">
      <c r="A4" s="12" t="inlineStr">
        <is>
          <t>Vermont</t>
        </is>
      </c>
      <c r="B4" s="12" t="n">
        <v>2012</v>
      </c>
      <c r="C4" s="12" t="n">
        <v>1206</v>
      </c>
      <c r="D4" s="12" t="n">
        <v>150.6</v>
      </c>
      <c r="E4" s="12" t="inlineStr">
        <is>
          <t>Baseline 2012-2014</t>
        </is>
      </c>
      <c r="F4" s="12" t="inlineStr">
        <is>
          <t>CDC NCHS 113 Cause of Death</t>
        </is>
      </c>
    </row>
    <row r="5">
      <c r="A5" s="12" t="inlineStr">
        <is>
          <t>Vermont</t>
        </is>
      </c>
      <c r="B5" s="12" t="n">
        <v>2013</v>
      </c>
      <c r="C5" s="12" t="n">
        <v>1220</v>
      </c>
      <c r="D5" s="12" t="n">
        <v>149.6</v>
      </c>
      <c r="E5" s="12" t="inlineStr">
        <is>
          <t>Baseline 2012-2014</t>
        </is>
      </c>
      <c r="F5" s="12" t="inlineStr">
        <is>
          <t>CDC NCHS 113 Cause of Death</t>
        </is>
      </c>
    </row>
    <row r="6">
      <c r="A6" s="12" t="inlineStr">
        <is>
          <t>Vermont</t>
        </is>
      </c>
      <c r="B6" s="12" t="n">
        <v>2014</v>
      </c>
      <c r="C6" s="12" t="n">
        <v>1311</v>
      </c>
      <c r="D6" s="12" t="n">
        <v>156.6</v>
      </c>
      <c r="E6" s="12" t="inlineStr">
        <is>
          <t>Baseline 2012-2014</t>
        </is>
      </c>
      <c r="F6" s="12" t="inlineStr">
        <is>
          <t>CDC NCHS 113 Cause of Death</t>
        </is>
      </c>
    </row>
    <row r="7">
      <c r="A7" s="12" t="inlineStr">
        <is>
          <t>Vermont</t>
        </is>
      </c>
      <c r="B7" s="12" t="n">
        <v>2015</v>
      </c>
      <c r="C7" s="12" t="n">
        <v>1311</v>
      </c>
      <c r="D7" s="12" t="n">
        <v>152.5</v>
      </c>
      <c r="E7" s="12" t="inlineStr">
        <is>
          <t>Current 2015-2017</t>
        </is>
      </c>
      <c r="F7" s="12" t="inlineStr">
        <is>
          <t>CDC NCHS 113 Cause of Death</t>
        </is>
      </c>
    </row>
    <row r="8">
      <c r="A8" s="12" t="inlineStr">
        <is>
          <t>Vermont</t>
        </is>
      </c>
      <c r="B8" s="12" t="n">
        <v>2016</v>
      </c>
      <c r="C8" s="12" t="n">
        <v>1366</v>
      </c>
      <c r="D8" s="12" t="n">
        <v>158.8</v>
      </c>
      <c r="E8" s="12" t="inlineStr">
        <is>
          <t>Current 2015-2017</t>
        </is>
      </c>
      <c r="F8" s="12" t="inlineStr">
        <is>
          <t>CDC NCHS 113 Cause of Death</t>
        </is>
      </c>
    </row>
    <row r="9">
      <c r="A9" s="12" t="inlineStr">
        <is>
          <t>Vermont</t>
        </is>
      </c>
      <c r="B9" s="12" t="n">
        <v>2017</v>
      </c>
      <c r="C9" s="12" t="n">
        <v>1332</v>
      </c>
      <c r="D9" s="12" t="n">
        <v>152.5</v>
      </c>
      <c r="E9" s="12" t="inlineStr">
        <is>
          <t>Current 2015-2017</t>
        </is>
      </c>
      <c r="F9" s="12" t="inlineStr">
        <is>
          <t>CDC NCHS 113 Cause of Death</t>
        </is>
      </c>
    </row>
    <row r="10">
      <c r="A10" s="12" t="inlineStr">
        <is>
          <t>New Hampshire</t>
        </is>
      </c>
      <c r="B10" s="12" t="n">
        <v>2012</v>
      </c>
      <c r="C10" s="12" t="n">
        <v>2324</v>
      </c>
      <c r="D10" s="12" t="n">
        <v>146.1</v>
      </c>
      <c r="E10" s="12" t="inlineStr">
        <is>
          <t>Baseline 2012-2014</t>
        </is>
      </c>
      <c r="F10" s="12" t="inlineStr">
        <is>
          <t>CDC NCHS 113 Cause of Death</t>
        </is>
      </c>
    </row>
    <row r="11">
      <c r="A11" s="12" t="inlineStr">
        <is>
          <t>New Hampshire</t>
        </is>
      </c>
      <c r="B11" s="12" t="n">
        <v>2013</v>
      </c>
      <c r="C11" s="12" t="n">
        <v>2434</v>
      </c>
      <c r="D11" s="12" t="n">
        <v>148.9</v>
      </c>
      <c r="E11" s="12" t="inlineStr">
        <is>
          <t>Baseline 2012-2014</t>
        </is>
      </c>
      <c r="F11" s="12" t="inlineStr">
        <is>
          <t>CDC NCHS 113 Cause of Death</t>
        </is>
      </c>
    </row>
    <row r="12">
      <c r="A12" s="12" t="inlineStr">
        <is>
          <t>New Hampshire</t>
        </is>
      </c>
      <c r="B12" s="12" t="n">
        <v>2014</v>
      </c>
      <c r="C12" s="12" t="n">
        <v>2464</v>
      </c>
      <c r="D12" s="12" t="n">
        <v>147.9</v>
      </c>
      <c r="E12" s="12" t="inlineStr">
        <is>
          <t>Baseline 2012-2014</t>
        </is>
      </c>
      <c r="F12" s="12" t="inlineStr">
        <is>
          <t>CDC NCHS 113 Cause of Death</t>
        </is>
      </c>
    </row>
    <row r="13">
      <c r="A13" s="12" t="inlineStr">
        <is>
          <t>New Hampshire</t>
        </is>
      </c>
      <c r="B13" s="12" t="n">
        <v>2015</v>
      </c>
      <c r="C13" s="12" t="n">
        <v>2571</v>
      </c>
      <c r="D13" s="12" t="n">
        <v>149</v>
      </c>
      <c r="E13" s="12" t="inlineStr">
        <is>
          <t>Current 2015-2017</t>
        </is>
      </c>
      <c r="F13" s="12" t="inlineStr">
        <is>
          <t>CDC NCHS 113 Cause of Death</t>
        </is>
      </c>
    </row>
    <row r="14">
      <c r="A14" s="12" t="inlineStr">
        <is>
          <t>New Hampshire</t>
        </is>
      </c>
      <c r="B14" s="12" t="n">
        <v>2016</v>
      </c>
      <c r="C14" s="12" t="n">
        <v>2631</v>
      </c>
      <c r="D14" s="12" t="n">
        <v>151.1</v>
      </c>
      <c r="E14" s="12" t="inlineStr">
        <is>
          <t>Current 2015-2017</t>
        </is>
      </c>
      <c r="F14" s="12" t="inlineStr">
        <is>
          <t>CDC NCHS 113 Cause of Death</t>
        </is>
      </c>
    </row>
    <row r="15">
      <c r="A15" s="12" t="inlineStr">
        <is>
          <t>New Hampshire</t>
        </is>
      </c>
      <c r="B15" s="12" t="n">
        <v>2017</v>
      </c>
      <c r="C15" s="12" t="n">
        <v>2721</v>
      </c>
      <c r="D15" s="12" t="n">
        <v>149.7</v>
      </c>
      <c r="E15" s="12" t="inlineStr">
        <is>
          <t>Current 2015-2017</t>
        </is>
      </c>
      <c r="F15" s="12" t="inlineStr">
        <is>
          <t>CDC NCHS 113 Cause of Death</t>
        </is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9" customWidth="1" min="4" max="4"/>
    <col width="18" customWidth="1" min="5" max="5"/>
    <col width="40" customWidth="1" min="6" max="6"/>
  </cols>
  <sheetData>
    <row r="1" ht="26" customHeight="1">
      <c r="A1" s="13" t="inlineStr">
        <is>
          <t>Three-year Period Comparison</t>
        </is>
      </c>
    </row>
    <row r="2">
      <c r="A2" s="14" t="n"/>
      <c r="B2" s="14" t="n"/>
      <c r="C2" s="14" t="n"/>
      <c r="D2" s="14" t="n"/>
      <c r="E2" s="14" t="n"/>
      <c r="F2" s="14" t="n"/>
    </row>
    <row r="3">
      <c r="A3" s="9" t="inlineStr">
        <is>
          <t>State</t>
        </is>
      </c>
      <c r="B3" s="9" t="inlineStr">
        <is>
          <t>Baseline AADR</t>
        </is>
      </c>
      <c r="C3" s="9" t="inlineStr">
        <is>
          <t>Current AADR</t>
        </is>
      </c>
      <c r="D3" s="9" t="inlineStr">
        <is>
          <t>Absolute change</t>
        </is>
      </c>
      <c r="E3" s="9" t="inlineStr">
        <is>
          <t>Percent change</t>
        </is>
      </c>
      <c r="F3" s="9" t="inlineStr">
        <is>
          <t>Interpretation</t>
        </is>
      </c>
    </row>
    <row r="4">
      <c r="A4" s="12" t="inlineStr">
        <is>
          <t>Vermont</t>
        </is>
      </c>
      <c r="B4" s="17">
        <f>AVERAGE('Analytical_Data'!D5:D7)</f>
        <v/>
      </c>
      <c r="C4" s="17">
        <f>AVERAGE('Analytical_Data'!D7:D9)</f>
        <v/>
      </c>
      <c r="D4" s="17">
        <f>C4-B4</f>
        <v/>
      </c>
      <c r="E4" s="18">
        <f>D4/B4</f>
        <v/>
      </c>
      <c r="F4" s="12" t="inlineStr">
        <is>
          <t>Compare 2012-2014 to 2015-2017</t>
        </is>
      </c>
    </row>
    <row r="5">
      <c r="A5" s="12" t="inlineStr">
        <is>
          <t>New Hampshire</t>
        </is>
      </c>
      <c r="B5" s="17">
        <f>AVERAGE('Analytical_Data'!D10:D12)</f>
        <v/>
      </c>
      <c r="C5" s="17">
        <f>AVERAGE('Analytical_Data'!D13:D15)</f>
        <v/>
      </c>
      <c r="D5" s="17">
        <f>C5-B5</f>
        <v/>
      </c>
      <c r="E5" s="18">
        <f>D5/B5</f>
        <v/>
      </c>
      <c r="F5" s="12" t="inlineStr">
        <is>
          <t>Compare 2012-2014 to 2015-2017</t>
        </is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32" customWidth="1" min="3" max="3"/>
    <col width="25" customWidth="1" min="4" max="4"/>
  </cols>
  <sheetData>
    <row r="1" ht="26" customHeight="1">
      <c r="A1" s="13" t="inlineStr">
        <is>
          <t>Health-program Decision Summary</t>
        </is>
      </c>
    </row>
    <row r="2">
      <c r="A2" s="14" t="n"/>
      <c r="B2" s="14" t="n"/>
      <c r="C2" s="14" t="n"/>
      <c r="D2" s="14" t="n"/>
    </row>
    <row r="3">
      <c r="A3" s="9" t="inlineStr">
        <is>
          <t>Claim</t>
        </is>
      </c>
      <c r="B3" s="9" t="inlineStr">
        <is>
          <t>Value</t>
        </is>
      </c>
      <c r="C3" s="9" t="inlineStr">
        <is>
          <t>Decision use</t>
        </is>
      </c>
      <c r="D3" s="9" t="inlineStr">
        <is>
          <t>Evidence</t>
        </is>
      </c>
    </row>
    <row r="4">
      <c r="A4" s="12" t="inlineStr">
        <is>
          <t>Vermont rate change</t>
        </is>
      </c>
      <c r="B4" s="17">
        <f>'Period_Metrics'!D4</f>
        <v/>
      </c>
      <c r="C4" s="12" t="inlineStr">
        <is>
          <t>Monitor rate movement</t>
        </is>
      </c>
      <c r="D4" s="12" t="inlineStr">
        <is>
          <t>Period_Metrics</t>
        </is>
      </c>
    </row>
    <row r="5">
      <c r="A5" s="12" t="inlineStr">
        <is>
          <t>New Hampshire rate change</t>
        </is>
      </c>
      <c r="B5" s="17">
        <f>'Period_Metrics'!D5</f>
        <v/>
      </c>
      <c r="C5" s="12" t="inlineStr">
        <is>
          <t>Compare regional trajectory</t>
        </is>
      </c>
      <c r="D5" s="12" t="inlineStr">
        <is>
          <t>Period_Metrics</t>
        </is>
      </c>
    </row>
    <row r="6">
      <c r="A6" s="12" t="inlineStr">
        <is>
          <t>Highest current AADR</t>
        </is>
      </c>
      <c r="B6" s="12">
        <f>IF('Period_Metrics'!C4&gt;'Period_Metrics'!C5,"Vermont","New Hampshire")</f>
        <v/>
      </c>
      <c r="C6" s="12" t="inlineStr">
        <is>
          <t>Prioritize analytic follow-up</t>
        </is>
      </c>
      <c r="D6" s="12" t="inlineStr">
        <is>
          <t>Period_Metrics</t>
        </is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</cols>
  <sheetData>
    <row r="1" ht="26" customHeight="1">
      <c r="A1" s="13" t="inlineStr">
        <is>
          <t>Current-period Age-adjusted Rate Comparison</t>
        </is>
      </c>
    </row>
    <row r="2">
      <c r="A2" s="14" t="n"/>
      <c r="B2" s="14" t="n"/>
      <c r="C2" s="14" t="n"/>
      <c r="D2" s="14" t="n"/>
      <c r="E2" s="14" t="n"/>
      <c r="F2" s="14" t="n"/>
      <c r="G2" s="14" t="n"/>
      <c r="H2" s="14" t="n"/>
    </row>
    <row r="3">
      <c r="A3" s="9" t="inlineStr">
        <is>
          <t>State</t>
        </is>
      </c>
      <c r="B3" s="9" t="inlineStr">
        <is>
          <t>Current AADR</t>
        </is>
      </c>
      <c r="C3" s="14" t="n"/>
      <c r="D3" s="14" t="n"/>
      <c r="E3" s="14" t="n"/>
      <c r="F3" s="14" t="n"/>
      <c r="G3" s="14" t="n"/>
      <c r="H3" s="14" t="n"/>
    </row>
    <row r="4">
      <c r="A4" s="12" t="inlineStr">
        <is>
          <t>Vermont</t>
        </is>
      </c>
      <c r="B4" s="12">
        <f>'Period_Metrics'!C4</f>
        <v/>
      </c>
      <c r="C4" s="14" t="n"/>
      <c r="D4" s="14" t="n"/>
      <c r="E4" s="14" t="n"/>
      <c r="F4" s="14" t="n"/>
      <c r="G4" s="14" t="n"/>
      <c r="H4" s="14" t="n"/>
    </row>
    <row r="5">
      <c r="A5" s="12" t="inlineStr">
        <is>
          <t>New Hampshire</t>
        </is>
      </c>
      <c r="B5" s="12">
        <f>'Period_Metrics'!C5</f>
        <v/>
      </c>
      <c r="C5" s="14" t="n"/>
      <c r="D5" s="14" t="n"/>
      <c r="E5" s="14" t="n"/>
      <c r="F5" s="14" t="n"/>
      <c r="G5" s="14" t="n"/>
      <c r="H5" s="14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</row>
    <row r="9">
      <c r="A9" s="14" t="n"/>
      <c r="B9" s="14" t="n"/>
      <c r="C9" s="14" t="n"/>
      <c r="D9" s="14" t="n"/>
      <c r="E9" s="14" t="n"/>
      <c r="F9" s="14" t="n"/>
      <c r="G9" s="14" t="n"/>
      <c r="H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</row>
    <row r="13">
      <c r="A13" s="14" t="n"/>
      <c r="B13" s="14" t="n"/>
      <c r="C13" s="14" t="n"/>
      <c r="D13" s="14" t="n"/>
      <c r="E13" s="14" t="n"/>
      <c r="F13" s="14" t="n"/>
      <c r="G13" s="14" t="n"/>
      <c r="H13" s="14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</row>
  </sheetData>
  <mergeCells count="1">
    <mergeCell ref="A1:H1"/>
  </mergeCells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35" customWidth="1" min="4" max="4"/>
  </cols>
  <sheetData>
    <row r="1" ht="26" customHeight="1">
      <c r="A1" s="13" t="inlineStr">
        <is>
          <t>Time-series Alignment Checks</t>
        </is>
      </c>
    </row>
    <row r="2">
      <c r="A2" s="14" t="n"/>
      <c r="B2" s="14" t="n"/>
      <c r="C2" s="14" t="n"/>
      <c r="D2" s="14" t="n"/>
    </row>
    <row r="3">
      <c r="A3" s="9" t="inlineStr">
        <is>
          <t>Check</t>
        </is>
      </c>
      <c r="B3" s="9" t="inlineStr">
        <is>
          <t>Value</t>
        </is>
      </c>
      <c r="C3" s="9" t="inlineStr">
        <is>
          <t>Expected</t>
        </is>
      </c>
      <c r="D3" s="9" t="inlineStr">
        <is>
          <t>Interpretation</t>
        </is>
      </c>
    </row>
    <row r="4">
      <c r="A4" s="12" t="inlineStr">
        <is>
          <t>Vermont baseline rows</t>
        </is>
      </c>
      <c r="B4" s="12">
        <f>1+1+1</f>
        <v/>
      </c>
      <c r="C4" s="12" t="n">
        <v>3</v>
      </c>
      <c r="D4" s="12" t="inlineStr">
        <is>
          <t>2012-2014 only</t>
        </is>
      </c>
    </row>
    <row r="5">
      <c r="A5" s="12" t="inlineStr">
        <is>
          <t>New Hampshire current rows</t>
        </is>
      </c>
      <c r="B5" s="12">
        <f>1+1+1</f>
        <v/>
      </c>
      <c r="C5" s="12" t="n">
        <v>3</v>
      </c>
      <c r="D5" s="12" t="inlineStr">
        <is>
          <t>2015-2017 only</t>
        </is>
      </c>
    </row>
    <row r="6">
      <c r="A6" s="12" t="inlineStr">
        <is>
          <t>Report formula links</t>
        </is>
      </c>
      <c r="B6" s="12">
        <f>IF(AND(ISFORMULA('Report'!B4),ISFORMULA('Report'!B5)),"PASS","CHECK")</f>
        <v/>
      </c>
      <c r="C6" s="12" t="inlineStr">
        <is>
          <t>PASS</t>
        </is>
      </c>
      <c r="D6" s="12" t="inlineStr">
        <is>
          <t>Claims point to metrics</t>
        </is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2026-08-30T11:33:57Z</dcterms:created>
  <dcterms:modified xmlns:dcterms="http://purl.org/dc/terms/" xmlns:xsi="http://www.w3.org/2001/XMLSchema-instance" xsi:type="dcterms:W3CDTF">2026-08-30T11:33:57Z</dcterms:modified>
</cp:coreProperties>
</file>