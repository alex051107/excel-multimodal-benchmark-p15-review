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a53e5c5b9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5762a343be3c406b"/>
    <x:sheet xmlns:r="http://schemas.openxmlformats.org/officeDocument/2006/relationships" name="Raw_New_Hampshire" sheetId="2" r:id="R982891a3c28a4e22"/>
    <x:sheet xmlns:r="http://schemas.openxmlformats.org/officeDocument/2006/relationships" name="Geo_Map" sheetId="3" r:id="R83d0fe8be31340f4"/>
    <x:sheet xmlns:r="http://schemas.openxmlformats.org/officeDocument/2006/relationships" name="Analytical_Data" sheetId="4" r:id="Rfc4eeb4be1c94272"/>
    <x:sheet xmlns:r="http://schemas.openxmlformats.org/officeDocument/2006/relationships" name="Period_Metrics" sheetId="5" r:id="Reb8f0bfd82f94891"/>
    <x:sheet xmlns:r="http://schemas.openxmlformats.org/officeDocument/2006/relationships" name="Report" sheetId="6" r:id="R2899c86043dc4a39"/>
    <x:sheet xmlns:r="http://schemas.openxmlformats.org/officeDocument/2006/relationships" name="Visualization" sheetId="7" r:id="R97fb80eb48654181"/>
    <x:sheet xmlns:r="http://schemas.openxmlformats.org/officeDocument/2006/relationships" name="Checks" sheetId="8" r:id="R1dfff7c2a70a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bf8261ae14c89" /><Relationship Type="http://schemas.openxmlformats.org/officeDocument/2006/relationships/theme" Target="/xl/theme/theme1.xml" Id="R680c61b7e3ed46cc" /><Relationship Type="http://schemas.openxmlformats.org/officeDocument/2006/relationships/sharedStrings" Target="/xl/sharedStrings.xml" Id="R18d549d51ef1403d" /><Relationship Type="http://schemas.openxmlformats.org/officeDocument/2006/relationships/worksheet" Target="/xl/worksheets/sheet1.xml" Id="R5762a343be3c406b" /><Relationship Type="http://schemas.openxmlformats.org/officeDocument/2006/relationships/worksheet" Target="/xl/worksheets/sheet2.xml" Id="R982891a3c28a4e22" /><Relationship Type="http://schemas.openxmlformats.org/officeDocument/2006/relationships/worksheet" Target="/xl/worksheets/sheet3.xml" Id="R83d0fe8be31340f4" /><Relationship Type="http://schemas.openxmlformats.org/officeDocument/2006/relationships/worksheet" Target="/xl/worksheets/sheet4.xml" Id="Rfc4eeb4be1c94272" /><Relationship Type="http://schemas.openxmlformats.org/officeDocument/2006/relationships/worksheet" Target="/xl/worksheets/sheet5.xml" Id="Reb8f0bfd82f94891" /><Relationship Type="http://schemas.openxmlformats.org/officeDocument/2006/relationships/worksheet" Target="/xl/worksheets/sheet6.xml" Id="R2899c86043dc4a39" /><Relationship Type="http://schemas.openxmlformats.org/officeDocument/2006/relationships/worksheet" Target="/xl/worksheets/sheet7.xml" Id="R97fb80eb48654181" /><Relationship Type="http://schemas.openxmlformats.org/officeDocument/2006/relationships/worksheet" Target="/xl/worksheets/sheet8.xml" Id="R1dfff7c2a70a47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4c169281d640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4c169281d640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27e8f2465e0149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  <x:c r="E4" s="12" t="str">
        <x:v>Baseline 2012-2014</x:v>
      </x:c>
      <x:c r="F4" s="12" t="str">
        <x:v>CDC NCHS 113 Cause of Death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  <x:c r="E5" s="12" t="str">
        <x:v>Baseline 2012-2014</x:v>
      </x:c>
      <x:c r="F5" s="12" t="str">
        <x:v>CDC NCHS 113 Cause of Death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  <x:c r="E6" s="12" t="str">
        <x:v>Baseline 2012-2014</x:v>
      </x:c>
      <x:c r="F6" s="12" t="str">
        <x:v>CDC NCHS 113 Cause of Death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  <x:c r="E7" s="12" t="str">
        <x:v>Current 2015-2017</x:v>
      </x:c>
      <x:c r="F7" s="12" t="str">
        <x:v>CDC NCHS 113 Cause of Death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  <x:c r="E8" s="12" t="str">
        <x:v>Current 2015-2017</x:v>
      </x:c>
      <x:c r="F8" s="12" t="str">
        <x:v>CDC NCHS 113 Cause of Death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  <x:c r="E9" s="12" t="str">
        <x:v>Current 2015-2017</x:v>
      </x:c>
      <x:c r="F9" s="12" t="str">
        <x:v>CDC NCHS 113 Cause of Death</x:v>
      </x:c>
    </x:row>
    <x:row r="10">
      <x:c r="A10" s="12" t="str">
        <x:v>New Hampshire</x:v>
      </x:c>
      <x:c r="B10" s="12" t="n">
        <x:v>2012</x:v>
      </x:c>
      <x:c r="C10" s="12" t="n">
        <x:v>2324</x:v>
      </x:c>
      <x:c r="D10" s="12" t="n">
        <x:v>146.1</x:v>
      </x:c>
      <x:c r="E10" s="12" t="str">
        <x:v>Baseline 2012-2014</x:v>
      </x:c>
      <x:c r="F10" s="12" t="str">
        <x:v>CDC NCHS 113 Cause of Death</x:v>
      </x:c>
    </x:row>
    <x:row r="11">
      <x:c r="A11" s="12" t="str">
        <x:v>New Hampshire</x:v>
      </x:c>
      <x:c r="B11" s="12" t="n">
        <x:v>2013</x:v>
      </x:c>
      <x:c r="C11" s="12" t="n">
        <x:v>2434</x:v>
      </x:c>
      <x:c r="D11" s="12" t="n">
        <x:v>148.9</x:v>
      </x:c>
      <x:c r="E11" s="12" t="str">
        <x:v>Baseline 2012-2014</x:v>
      </x:c>
      <x:c r="F11" s="12" t="str">
        <x:v>CDC NCHS 113 Cause of Death</x:v>
      </x:c>
    </x:row>
    <x:row r="12">
      <x:c r="A12" s="12" t="str">
        <x:v>New Hampshire</x:v>
      </x:c>
      <x:c r="B12" s="12" t="n">
        <x:v>2014</x:v>
      </x:c>
      <x:c r="C12" s="12" t="n">
        <x:v>2464</x:v>
      </x:c>
      <x:c r="D12" s="12" t="n">
        <x:v>147.9</x:v>
      </x:c>
      <x:c r="E12" s="12" t="str">
        <x:v>Baseline 2012-2014</x:v>
      </x:c>
      <x:c r="F12" s="12" t="str">
        <x:v>CDC NCHS 113 Cause of Death</x:v>
      </x:c>
    </x:row>
    <x:row r="13">
      <x:c r="A13" s="12" t="str">
        <x:v>New Hampshire</x:v>
      </x:c>
      <x:c r="B13" s="12" t="n">
        <x:v>2015</x:v>
      </x:c>
      <x:c r="C13" s="12" t="n">
        <x:v>2571</x:v>
      </x:c>
      <x:c r="D13" s="12" t="n">
        <x:v>149</x:v>
      </x:c>
      <x:c r="E13" s="12" t="str">
        <x:v>Current 2015-2017</x:v>
      </x:c>
      <x:c r="F13" s="12" t="str">
        <x:v>CDC NCHS 113 Cause of Death</x:v>
      </x:c>
    </x:row>
    <x:row r="14">
      <x:c r="A14" s="12" t="str">
        <x:v>New Hampshire</x:v>
      </x:c>
      <x:c r="B14" s="12" t="n">
        <x:v>2016</x:v>
      </x:c>
      <x:c r="C14" s="12" t="n">
        <x:v>2631</x:v>
      </x:c>
      <x:c r="D14" s="12" t="n">
        <x:v>151.1</x:v>
      </x:c>
      <x:c r="E14" s="12" t="str">
        <x:v>Current 2015-2017</x:v>
      </x:c>
      <x:c r="F14" s="12" t="str">
        <x:v>CDC NCHS 113 Cause of Death</x:v>
      </x:c>
    </x:row>
    <x:row r="15">
      <x:c r="A15" s="12" t="str">
        <x:v>New Hampshire</x:v>
      </x:c>
      <x:c r="B15" s="12" t="n">
        <x:v>2017</x:v>
      </x:c>
      <x:c r="C15" s="12" t="n">
        <x:v>2721</x:v>
      </x:c>
      <x:c r="D15" s="12" t="n">
        <x:v>149.7</x:v>
      </x:c>
      <x:c r="E15" s="12" t="str">
        <x:v>Current 2015-2017</x:v>
      </x:c>
      <x:c r="F15" s="12" t="str">
        <x:v>CDC NCHS 113 Cause of Death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 t="n">
        <x:f>AVERAGE('Analytical_Data'!D5:D7)</x:f>
        <x:v>152.9</x:v>
      </x:c>
      <x:c r="C4" s="15" t="n">
        <x:f>AVERAGE('Analytical_Data'!D7:D9)</x:f>
        <x:v>154.6</x:v>
      </x:c>
      <x:c r="D4" s="15" t="n">
        <x:f>C4-B4</x:f>
        <x:v>1.6999999999999886</x:v>
      </x:c>
      <x:c r="E4" s="16" t="n">
        <x:f>D4/B4</x:f>
        <x:v>0.01111837802485277</x:v>
      </x:c>
      <x:c r="F4" s="12" t="str">
        <x:v>Compare 2012-2014 to 2015-2017</x:v>
      </x:c>
    </x:row>
    <x:row r="5">
      <x:c r="A5" s="12" t="str">
        <x:v>New Hampshire</x:v>
      </x:c>
      <x:c r="B5" s="15" t="n">
        <x:f>AVERAGE('Analytical_Data'!D10:D12)</x:f>
        <x:v>147.63333333333333</x:v>
      </x:c>
      <x:c r="C5" s="15" t="n">
        <x:f>AVERAGE('Analytical_Data'!D13:D15)</x:f>
        <x:v>149.93333333333334</x:v>
      </x:c>
      <x:c r="D5" s="15" t="n">
        <x:f>C5-B5</x:f>
        <x:v>2.3000000000000114</x:v>
      </x:c>
      <x:c r="E5" s="16" t="n">
        <x:f>D5/B5</x:f>
        <x:v>0.015579137502822386</x:v>
      </x:c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 t="n">
        <x:f>'Period_Metrics'!D4</x:f>
        <x:v>1.6999999999999886</x:v>
      </x:c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 t="n">
        <x:f>'Period_Metrics'!D5</x:f>
        <x:v>2.3000000000000114</x:v>
      </x:c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 t="str">
        <x:f>IF('Period_Metrics'!C4&gt;'Period_Metrics'!C5,"Vermont","New Hampshire")</x:f>
        <x:v>Vermont</x:v>
      </x:c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 t="n">
        <x:f>'Period_Metrics'!C4</x:f>
        <x:v>154.6</x:v>
      </x:c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 t="n">
        <x:f>'Period_Metrics'!C5</x:f>
        <x:v>149.93333333333334</x:v>
      </x:c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7e8f2465e014982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 t="n">
        <x:f>1+1+1</x:f>
        <x:v>3</x:v>
      </x:c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 t="n">
        <x:f>1+1+1</x:f>
        <x:v>3</x:v>
      </x:c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 t="e">
        <x:f>IF(AND(ISFORMULA('Report'!B4),ISFORMULA('Report'!B5)),"PASS","CHECK")</x:f>
        <x:v>#VALUE!</x:v>
      </x:c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