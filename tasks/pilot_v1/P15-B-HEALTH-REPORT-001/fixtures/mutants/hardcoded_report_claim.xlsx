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e02817967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8bb9a716848a498e"/>
    <x:sheet xmlns:r="http://schemas.openxmlformats.org/officeDocument/2006/relationships" name="Raw_New_Hampshire" sheetId="2" r:id="R0d087c69aa154cb4"/>
    <x:sheet xmlns:r="http://schemas.openxmlformats.org/officeDocument/2006/relationships" name="Geo_Map" sheetId="3" r:id="R94bc8e118a454926"/>
    <x:sheet xmlns:r="http://schemas.openxmlformats.org/officeDocument/2006/relationships" name="Analytical_Data" sheetId="4" r:id="R8e09d576458748ca"/>
    <x:sheet xmlns:r="http://schemas.openxmlformats.org/officeDocument/2006/relationships" name="Period_Metrics" sheetId="5" r:id="R41c5db63589e4ce5"/>
    <x:sheet xmlns:r="http://schemas.openxmlformats.org/officeDocument/2006/relationships" name="Report" sheetId="6" r:id="Rabb69ef0bd2142db"/>
    <x:sheet xmlns:r="http://schemas.openxmlformats.org/officeDocument/2006/relationships" name="Visualization" sheetId="7" r:id="R7af6e0819c874963"/>
    <x:sheet xmlns:r="http://schemas.openxmlformats.org/officeDocument/2006/relationships" name="Checks" sheetId="8" r:id="Reccc05327c8a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dba950ade42b7" /><Relationship Type="http://schemas.openxmlformats.org/officeDocument/2006/relationships/theme" Target="/xl/theme/theme1.xml" Id="Rdf24eed36b0c4a32" /><Relationship Type="http://schemas.openxmlformats.org/officeDocument/2006/relationships/sharedStrings" Target="/xl/sharedStrings.xml" Id="Rdb6c27a04e5f4544" /><Relationship Type="http://schemas.openxmlformats.org/officeDocument/2006/relationships/worksheet" Target="/xl/worksheets/sheet1.xml" Id="R8bb9a716848a498e" /><Relationship Type="http://schemas.openxmlformats.org/officeDocument/2006/relationships/worksheet" Target="/xl/worksheets/sheet2.xml" Id="R0d087c69aa154cb4" /><Relationship Type="http://schemas.openxmlformats.org/officeDocument/2006/relationships/worksheet" Target="/xl/worksheets/sheet3.xml" Id="R94bc8e118a454926" /><Relationship Type="http://schemas.openxmlformats.org/officeDocument/2006/relationships/worksheet" Target="/xl/worksheets/sheet4.xml" Id="R8e09d576458748ca" /><Relationship Type="http://schemas.openxmlformats.org/officeDocument/2006/relationships/worksheet" Target="/xl/worksheets/sheet5.xml" Id="R41c5db63589e4ce5" /><Relationship Type="http://schemas.openxmlformats.org/officeDocument/2006/relationships/worksheet" Target="/xl/worksheets/sheet6.xml" Id="Rabb69ef0bd2142db" /><Relationship Type="http://schemas.openxmlformats.org/officeDocument/2006/relationships/worksheet" Target="/xl/worksheets/sheet7.xml" Id="R7af6e0819c874963" /><Relationship Type="http://schemas.openxmlformats.org/officeDocument/2006/relationships/worksheet" Target="/xl/worksheets/sheet8.xml" Id="Reccc05327c8a4c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170a51855d42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170a51855d42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141f60a95ff47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New Hampshire</x:v>
      </x:c>
      <x:c r="B10" s="12" t="n">
        <x:v>2012</x:v>
      </x:c>
      <x:c r="C10" s="12" t="n">
        <x:v>2324</x:v>
      </x:c>
      <x:c r="D10" s="12" t="n"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AVERAGE('Analytical_Data'!D4:D6)</x:f>
        <x:v>152.26666666666665</x:v>
      </x:c>
      <x:c r="C4" s="15" t="n">
        <x:f>AVERAGE('Analytical_Data'!D7:D9)</x:f>
        <x:v>154.6</x:v>
      </x:c>
      <x:c r="D4" s="15" t="n">
        <x:f>C4-B4</x:f>
        <x:v>2.333333333333343</x:v>
      </x:c>
      <x:c r="E4" s="16" t="n">
        <x:f>D4/B4</x:f>
        <x:v>0.015323992994746124</x:v>
      </x:c>
      <x:c r="F4" s="12" t="str">
        <x:v>Compare 2012-2014 to 2015-2017</x:v>
      </x:c>
    </x:row>
    <x:row r="5">
      <x:c r="A5" s="12" t="str">
        <x:v>New Hampshire</x:v>
      </x:c>
      <x:c r="B5" s="15" t="n">
        <x:f>AVERAGE('Analytical_Data'!D10:D12)</x:f>
        <x:v>147.63333333333333</x:v>
      </x:c>
      <x:c r="C5" s="15" t="n">
        <x:f>AVERAGE('Analytical_Data'!D13:D15)</x:f>
        <x:v>149.93333333333334</x:v>
      </x:c>
      <x:c r="D5" s="15" t="n">
        <x:f>C5-B5</x:f>
        <x:v>2.3000000000000114</x:v>
      </x:c>
      <x:c r="E5" s="16" t="n">
        <x:f>D5/B5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v>2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141f60a95ff47c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1+1+1</x:f>
        <x:v>3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1+1+1</x:f>
        <x:v>3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e">
        <x:f>IF(AND(ISFORMULA('Report'!B4),ISFORMULA('Report'!B5)),"PASS","CHECK")</x:f>
        <x:v>#VALUE!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