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0e4bcd360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5de7275d002e4ec9"/>
    <x:sheet xmlns:r="http://schemas.openxmlformats.org/officeDocument/2006/relationships" name="Raw_New_Hampshire" sheetId="2" r:id="R08f3e733e90a40fe"/>
    <x:sheet xmlns:r="http://schemas.openxmlformats.org/officeDocument/2006/relationships" name="Geo_Map" sheetId="3" r:id="Rb9fd66f63aec489b"/>
    <x:sheet xmlns:r="http://schemas.openxmlformats.org/officeDocument/2006/relationships" name="Analytical_Data" sheetId="4" r:id="Rebd187f679ae4b1f"/>
    <x:sheet xmlns:r="http://schemas.openxmlformats.org/officeDocument/2006/relationships" name="Period_Metrics" sheetId="5" r:id="R429a7df372b94f6b"/>
    <x:sheet xmlns:r="http://schemas.openxmlformats.org/officeDocument/2006/relationships" name="Report" sheetId="6" r:id="Raf866ec46c674006"/>
    <x:sheet xmlns:r="http://schemas.openxmlformats.org/officeDocument/2006/relationships" name="Visualization" sheetId="7" r:id="Rbe03f959fb3b470e"/>
    <x:sheet xmlns:r="http://schemas.openxmlformats.org/officeDocument/2006/relationships" name="Checks" sheetId="8" r:id="Rda7111036b59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846bc5a60434e" /><Relationship Type="http://schemas.openxmlformats.org/officeDocument/2006/relationships/theme" Target="/xl/theme/theme1.xml" Id="Re543de6f06104d30" /><Relationship Type="http://schemas.openxmlformats.org/officeDocument/2006/relationships/sharedStrings" Target="/xl/sharedStrings.xml" Id="R626eecf9c6ec487d" /><Relationship Type="http://schemas.openxmlformats.org/officeDocument/2006/relationships/worksheet" Target="/xl/worksheets/sheet1.xml" Id="R5de7275d002e4ec9" /><Relationship Type="http://schemas.openxmlformats.org/officeDocument/2006/relationships/worksheet" Target="/xl/worksheets/sheet2.xml" Id="R08f3e733e90a40fe" /><Relationship Type="http://schemas.openxmlformats.org/officeDocument/2006/relationships/worksheet" Target="/xl/worksheets/sheet3.xml" Id="Rb9fd66f63aec489b" /><Relationship Type="http://schemas.openxmlformats.org/officeDocument/2006/relationships/worksheet" Target="/xl/worksheets/sheet4.xml" Id="Rebd187f679ae4b1f" /><Relationship Type="http://schemas.openxmlformats.org/officeDocument/2006/relationships/worksheet" Target="/xl/worksheets/sheet5.xml" Id="R429a7df372b94f6b" /><Relationship Type="http://schemas.openxmlformats.org/officeDocument/2006/relationships/worksheet" Target="/xl/worksheets/sheet6.xml" Id="Raf866ec46c674006" /><Relationship Type="http://schemas.openxmlformats.org/officeDocument/2006/relationships/worksheet" Target="/xl/worksheets/sheet7.xml" Id="Rbe03f959fb3b470e" /><Relationship Type="http://schemas.openxmlformats.org/officeDocument/2006/relationships/worksheet" Target="/xl/worksheets/sheet8.xml" Id="Rda7111036b5944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b0a9a27b844b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2021-2023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b0a9a27b844b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7971ea7542b4e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2018</x:v>
      </x:c>
      <x:c r="C4" s="12" t="n">
        <x:v>1380</x:v>
      </x:c>
      <x:c r="D4" s="12" t="n">
        <x:v>154.2</x:v>
      </x:c>
    </x:row>
    <x:row r="5">
      <x:c r="A5" s="12" t="str">
        <x:v>Vermont</x:v>
      </x:c>
      <x:c r="B5" s="12" t="n">
        <x:v>2019</x:v>
      </x:c>
      <x:c r="C5" s="12" t="n">
        <x:v>1405</x:v>
      </x:c>
      <x:c r="D5" s="12" t="n">
        <x:v>153.1</x:v>
      </x:c>
    </x:row>
    <x:row r="6">
      <x:c r="A6" s="12" t="str">
        <x:v>Vermont</x:v>
      </x:c>
      <x:c r="B6" s="12" t="n">
        <x:v>2020</x:v>
      </x:c>
      <x:c r="C6" s="12" t="n">
        <x:v>1520</x:v>
      </x:c>
      <x:c r="D6" s="12" t="n">
        <x:v>160.4</x:v>
      </x:c>
    </x:row>
    <x:row r="7">
      <x:c r="A7" s="12" t="str">
        <x:v>Vermont</x:v>
      </x:c>
      <x:c r="B7" s="12" t="n">
        <x:v>2021</x:v>
      </x:c>
      <x:c r="C7" s="12" t="n">
        <x:v>1490</x:v>
      </x:c>
      <x:c r="D7" s="12" t="n">
        <x:v>156</x:v>
      </x:c>
    </x:row>
    <x:row r="8">
      <x:c r="A8" s="12" t="str">
        <x:v>Vermont</x:v>
      </x:c>
      <x:c r="B8" s="12" t="n">
        <x:v>2022</x:v>
      </x:c>
      <x:c r="C8" s="12" t="n">
        <x:v>1518</x:v>
      </x:c>
      <x:c r="D8" s="12" t="n">
        <x:v>154.4</x:v>
      </x:c>
    </x:row>
    <x:row r="9">
      <x:c r="A9" s="12" t="str">
        <x:v>Vermont</x:v>
      </x:c>
      <x:c r="B9" s="12" t="n">
        <x:v>2023</x:v>
      </x:c>
      <x:c r="C9" s="12" t="n">
        <x:v>1552</x:v>
      </x:c>
      <x:c r="D9" s="12" t="n">
        <x:v>153.4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2018</x:v>
      </x:c>
      <x:c r="C4" s="12" t="n">
        <x:v>2780</x:v>
      </x:c>
      <x:c r="D4" s="12" t="n">
        <x:v>148.5</x:v>
      </x:c>
    </x:row>
    <x:row r="5">
      <x:c r="A5" s="12" t="str">
        <x:v>New Hampshire</x:v>
      </x:c>
      <x:c r="B5" s="12" t="n">
        <x:v>2019</x:v>
      </x:c>
      <x:c r="C5" s="12" t="n">
        <x:v>2855</x:v>
      </x:c>
      <x:c r="D5" s="12" t="n">
        <x:v>147.8</x:v>
      </x:c>
    </x:row>
    <x:row r="6">
      <x:c r="A6" s="12" t="str">
        <x:v>New Hampshire</x:v>
      </x:c>
      <x:c r="B6" s="12" t="n">
        <x:v>2020</x:v>
      </x:c>
      <x:c r="C6" s="12" t="n">
        <x:v>3100</x:v>
      </x:c>
      <x:c r="D6" s="12" t="n">
        <x:v>154.1</x:v>
      </x:c>
    </x:row>
    <x:row r="7">
      <x:c r="A7" s="12" t="str">
        <x:v>New Hampshire</x:v>
      </x:c>
      <x:c r="B7" s="12" t="n">
        <x:v>2021</x:v>
      </x:c>
      <x:c r="C7" s="12" t="n">
        <x:v>3050</x:v>
      </x:c>
      <x:c r="D7" s="12" t="n">
        <x:v>158.2</x:v>
      </x:c>
    </x:row>
    <x:row r="8">
      <x:c r="A8" s="12" t="str">
        <x:v>New Hampshire</x:v>
      </x:c>
      <x:c r="B8" s="12" t="n">
        <x:v>2022</x:v>
      </x:c>
      <x:c r="C8" s="12" t="n">
        <x:v>3120</x:v>
      </x:c>
      <x:c r="D8" s="12" t="n">
        <x:v>157.4</x:v>
      </x:c>
    </x:row>
    <x:row r="9">
      <x:c r="A9" s="12" t="str">
        <x:v>New Hampshire</x:v>
      </x:c>
      <x:c r="B9" s="12" t="n">
        <x:v>2023</x:v>
      </x:c>
      <x:c r="C9" s="12" t="n">
        <x:v>3180</x:v>
      </x:c>
      <x:c r="D9" s="12" t="n">
        <x:v>156.8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New England comparison</x:v>
      </x:c>
      <x:c r="C4" s="12" t="str">
        <x:v>VT-HRT</x:v>
      </x:c>
    </x:row>
    <x:row r="5">
      <x:c r="A5" s="12" t="str">
        <x:v>New Hampshire</x:v>
      </x:c>
      <x:c r="B5" s="12" t="str">
        <x:v>New England comparison</x:v>
      </x:c>
      <x:c r="C5" s="12" t="str">
        <x:v>NH-HRT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2018</x:v>
      </x:c>
      <x:c r="C4" s="12" t="n">
        <x:v>1380</x:v>
      </x:c>
      <x:c r="D4" s="12" t="n">
        <x:f>'Raw_Vermont'!D4</x:f>
        <x:v>154.2</x:v>
      </x:c>
      <x:c r="E4" s="12" t="str">
        <x:v>Baseline 2018-2020</x:v>
      </x:c>
      <x:c r="F4" s="12" t="str">
        <x:v>CDC NCHS 113 Cause of Death</x:v>
      </x:c>
    </x:row>
    <x:row r="5">
      <x:c r="A5" s="12" t="str">
        <x:v>Vermont</x:v>
      </x:c>
      <x:c r="B5" s="12" t="n">
        <x:v>2019</x:v>
      </x:c>
      <x:c r="C5" s="12" t="n">
        <x:v>1405</x:v>
      </x:c>
      <x:c r="D5" s="12" t="n">
        <x:f>'Raw_Vermont'!D5</x:f>
        <x:v>153.1</x:v>
      </x:c>
      <x:c r="E5" s="12" t="str">
        <x:v>Baseline 2018-2020</x:v>
      </x:c>
      <x:c r="F5" s="12" t="str">
        <x:v>CDC NCHS 113 Cause of Death</x:v>
      </x:c>
    </x:row>
    <x:row r="6">
      <x:c r="A6" s="12" t="str">
        <x:v>Vermont</x:v>
      </x:c>
      <x:c r="B6" s="12" t="n">
        <x:v>2020</x:v>
      </x:c>
      <x:c r="C6" s="12" t="n">
        <x:v>1520</x:v>
      </x:c>
      <x:c r="D6" s="12" t="n">
        <x:f>'Raw_Vermont'!D6</x:f>
        <x:v>160.4</x:v>
      </x:c>
      <x:c r="E6" s="12" t="str">
        <x:v>Baseline 2018-2020</x:v>
      </x:c>
      <x:c r="F6" s="12" t="str">
        <x:v>CDC NCHS 113 Cause of Death</x:v>
      </x:c>
    </x:row>
    <x:row r="7">
      <x:c r="A7" s="12" t="str">
        <x:v>Vermont</x:v>
      </x:c>
      <x:c r="B7" s="12" t="n">
        <x:v>2021</x:v>
      </x:c>
      <x:c r="C7" s="12" t="n">
        <x:v>1490</x:v>
      </x:c>
      <x:c r="D7" s="12" t="n">
        <x:f>'Raw_Vermont'!D7</x:f>
        <x:v>156</x:v>
      </x:c>
      <x:c r="E7" s="12" t="str">
        <x:v>Current 2021-2023</x:v>
      </x:c>
      <x:c r="F7" s="12" t="str">
        <x:v>CDC NCHS 113 Cause of Death</x:v>
      </x:c>
    </x:row>
    <x:row r="8">
      <x:c r="A8" s="12" t="str">
        <x:v>Vermont</x:v>
      </x:c>
      <x:c r="B8" s="12" t="n">
        <x:v>2022</x:v>
      </x:c>
      <x:c r="C8" s="12" t="n">
        <x:v>1518</x:v>
      </x:c>
      <x:c r="D8" s="12" t="n">
        <x:f>'Raw_Vermont'!D8</x:f>
        <x:v>154.4</x:v>
      </x:c>
      <x:c r="E8" s="12" t="str">
        <x:v>Current 2021-2023</x:v>
      </x:c>
      <x:c r="F8" s="12" t="str">
        <x:v>CDC NCHS 113 Cause of Death</x:v>
      </x:c>
    </x:row>
    <x:row r="9">
      <x:c r="A9" s="12" t="str">
        <x:v>Vermont</x:v>
      </x:c>
      <x:c r="B9" s="12" t="n">
        <x:v>2023</x:v>
      </x:c>
      <x:c r="C9" s="12" t="n">
        <x:v>1552</x:v>
      </x:c>
      <x:c r="D9" s="12" t="n">
        <x:f>'Raw_Vermont'!D9</x:f>
        <x:v>153.4</x:v>
      </x:c>
      <x:c r="E9" s="12" t="str">
        <x:v>Current 2021-2023</x:v>
      </x:c>
      <x:c r="F9" s="12" t="str">
        <x:v>CDC NCHS 113 Cause of Death</x:v>
      </x:c>
    </x:row>
    <x:row r="10">
      <x:c r="A10" s="12" t="str">
        <x:v>New Hampshire</x:v>
      </x:c>
      <x:c r="B10" s="12" t="n">
        <x:v>2018</x:v>
      </x:c>
      <x:c r="C10" s="12" t="n">
        <x:v>2780</x:v>
      </x:c>
      <x:c r="D10" s="12" t="n">
        <x:f>'Raw_New_Hampshire'!D4</x:f>
        <x:v>148.5</x:v>
      </x:c>
      <x:c r="E10" s="12" t="str">
        <x:v>Baseline 2018-2020</x:v>
      </x:c>
      <x:c r="F10" s="12" t="str">
        <x:v>CDC NCHS 113 Cause of Death</x:v>
      </x:c>
    </x:row>
    <x:row r="11">
      <x:c r="A11" s="12" t="str">
        <x:v>New Hampshire</x:v>
      </x:c>
      <x:c r="B11" s="12" t="n">
        <x:v>2019</x:v>
      </x:c>
      <x:c r="C11" s="12" t="n">
        <x:v>2855</x:v>
      </x:c>
      <x:c r="D11" s="12" t="n">
        <x:f>'Raw_New_Hampshire'!D5</x:f>
        <x:v>147.8</x:v>
      </x:c>
      <x:c r="E11" s="12" t="str">
        <x:v>Baseline 2018-2020</x:v>
      </x:c>
      <x:c r="F11" s="12" t="str">
        <x:v>CDC NCHS 113 Cause of Death</x:v>
      </x:c>
    </x:row>
    <x:row r="12">
      <x:c r="A12" s="12" t="str">
        <x:v>New Hampshire</x:v>
      </x:c>
      <x:c r="B12" s="12" t="n">
        <x:v>2020</x:v>
      </x:c>
      <x:c r="C12" s="12" t="n">
        <x:v>3100</x:v>
      </x:c>
      <x:c r="D12" s="12" t="n">
        <x:f>'Raw_New_Hampshire'!D6</x:f>
        <x:v>154.1</x:v>
      </x:c>
      <x:c r="E12" s="12" t="str">
        <x:v>Baseline 2018-2020</x:v>
      </x:c>
      <x:c r="F12" s="12" t="str">
        <x:v>CDC NCHS 113 Cause of Death</x:v>
      </x:c>
    </x:row>
    <x:row r="13">
      <x:c r="A13" s="12" t="str">
        <x:v>New Hampshire</x:v>
      </x:c>
      <x:c r="B13" s="12" t="n">
        <x:v>2021</x:v>
      </x:c>
      <x:c r="C13" s="12" t="n">
        <x:v>3050</x:v>
      </x:c>
      <x:c r="D13" s="12" t="n">
        <x:f>'Raw_New_Hampshire'!D7</x:f>
        <x:v>158.2</x:v>
      </x:c>
      <x:c r="E13" s="12" t="str">
        <x:v>Current 2021-2023</x:v>
      </x:c>
      <x:c r="F13" s="12" t="str">
        <x:v>CDC NCHS 113 Cause of Death</x:v>
      </x:c>
    </x:row>
    <x:row r="14">
      <x:c r="A14" s="12" t="str">
        <x:v>New Hampshire</x:v>
      </x:c>
      <x:c r="B14" s="12" t="n">
        <x:v>2022</x:v>
      </x:c>
      <x:c r="C14" s="12" t="n">
        <x:v>3120</x:v>
      </x:c>
      <x:c r="D14" s="12" t="n">
        <x:f>'Raw_New_Hampshire'!D8</x:f>
        <x:v>157.4</x:v>
      </x:c>
      <x:c r="E14" s="12" t="str">
        <x:v>Current 2021-2023</x:v>
      </x:c>
      <x:c r="F14" s="12" t="str">
        <x:v>CDC NCHS 113 Cause of Death</x:v>
      </x:c>
    </x:row>
    <x:row r="15">
      <x:c r="A15" s="12" t="str">
        <x:v>New Hampshire</x:v>
      </x:c>
      <x:c r="B15" s="12" t="n">
        <x:v>2023</x:v>
      </x:c>
      <x:c r="C15" s="12" t="n">
        <x:v>3180</x:v>
      </x:c>
      <x:c r="D15" s="12" t="n">
        <x:f>'Raw_New_Hampshire'!D9</x:f>
        <x:v>156.8</x:v>
      </x:c>
      <x:c r="E15" s="12" t="str">
        <x:v>Current 2021-2023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AVERAGE('Analytical_Data'!D4:D6)</x:f>
        <x:v>155.89999999999998</x:v>
      </x:c>
      <x:c r="C4" s="15" t="n">
        <x:f>AVERAGE('Analytical_Data'!D7:D9)</x:f>
        <x:v>154.6</x:v>
      </x:c>
      <x:c r="D4" s="15" t="n">
        <x:f>C4-B4</x:f>
        <x:v>-1.299999999999983</x:v>
      </x:c>
      <x:c r="E4" s="16" t="n">
        <x:f>D4/B4</x:f>
        <x:v>-0.008338678640153837</x:v>
      </x:c>
      <x:c r="F4" s="12" t="str">
        <x:v>Compare 2018-2020 to 2021-2023</x:v>
      </x:c>
    </x:row>
    <x:row r="5">
      <x:c r="A5" s="12" t="str">
        <x:v>New Hampshire</x:v>
      </x:c>
      <x:c r="B5" s="15" t="n">
        <x:f>AVERAGE('Analytical_Data'!D10:D12)</x:f>
        <x:v>150.13333333333333</x:v>
      </x:c>
      <x:c r="C5" s="15" t="n">
        <x:f>AVERAGE('Analytical_Data'!D13:D15)</x:f>
        <x:v>157.46666666666667</x:v>
      </x:c>
      <x:c r="D5" s="15" t="n">
        <x:f>C5-B5</x:f>
        <x:v>7.333333333333343</x:v>
      </x:c>
      <x:c r="E5" s="16" t="n">
        <x:f>D5/B5</x:f>
        <x:v>0.04884547069271765</x:v>
      </x:c>
      <x:c r="F5" s="12" t="str">
        <x:v>Compare 2018-2020 to 2021-2023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f>'Period_Metrics'!D4</x:f>
        <x:v>-1.299999999999983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7.333333333333343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IF('Period_Metrics'!C4&gt;'Period_Metrics'!C5,'Period_Metrics'!A4,'Period_Metrics'!A5)</x:f>
        <x:v>New Hampshire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f>'Period_Metrics'!C4</x:f>
        <x:v>154.6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157.46666666666667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7971ea7542b4ec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Analytical source rows</x:v>
      </x:c>
      <x:c r="B4" s="12" t="n">
        <x:f>IF('Analytical_Data'!A4&lt;&gt;"",1,0)+IF('Analytical_Data'!A5&lt;&gt;"",1,0)+IF('Analytical_Data'!A6&lt;&gt;"",1,0)+IF('Analytical_Data'!A7&lt;&gt;"",1,0)+IF('Analytical_Data'!A8&lt;&gt;"",1,0)+IF('Analytical_Data'!A9&lt;&gt;"",1,0)+IF('Analytical_Data'!A10&lt;&gt;"",1,0)+IF('Analytical_Data'!A11&lt;&gt;"",1,0)+IF('Analytical_Data'!A12&lt;&gt;"",1,0)+IF('Analytical_Data'!A13&lt;&gt;"",1,0)+IF('Analytical_Data'!A14&lt;&gt;"",1,0)+IF('Analytical_Data'!A15&lt;&gt;"",1,0)</x:f>
        <x:v>12</x:v>
      </x:c>
      <x:c r="C4" s="12" t="n">
        <x:v>12</x:v>
      </x:c>
      <x:c r="D4" s="12" t="str">
        <x:v>Both six-year source series</x:v>
      </x:c>
    </x:row>
    <x:row r="5">
      <x:c r="A5" s="12" t="str">
        <x:v>State metric rows</x:v>
      </x:c>
      <x:c r="B5" s="12" t="n">
        <x:f>IF('Period_Metrics'!A4&lt;&gt;"",1,0)+IF('Period_Metrics'!A5&lt;&gt;"",1,0)</x:f>
        <x:v>2</x:v>
      </x:c>
      <x:c r="C5" s="12" t="n">
        <x:v>2</x:v>
      </x:c>
      <x:c r="D5" s="12" t="str">
        <x:v>One row per state</x:v>
      </x:c>
    </x:row>
    <x:row r="6">
      <x:c r="A6" s="12" t="str">
        <x:v>Report formula closure</x:v>
      </x:c>
      <x:c r="B6" s="12" t="n">
        <x:f>'Report'!B4+'Report'!B5-'Period_Metrics'!D4-'Period_Metrics'!D5</x:f>
        <x:v>0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