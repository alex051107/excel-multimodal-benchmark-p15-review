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3edaeffa5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c530165f02fe4029"/>
    <x:sheet xmlns:r="http://schemas.openxmlformats.org/officeDocument/2006/relationships" name="Revenue_Build" sheetId="2" r:id="R743ee568ea68417c"/>
    <x:sheet xmlns:r="http://schemas.openxmlformats.org/officeDocument/2006/relationships" name="Working_Capital" sheetId="3" r:id="Rddaa1c566d0d44d1"/>
    <x:sheet xmlns:r="http://schemas.openxmlformats.org/officeDocument/2006/relationships" name="Debt_Schedule" sheetId="4" r:id="R2dffd460695c40ea"/>
    <x:sheet xmlns:r="http://schemas.openxmlformats.org/officeDocument/2006/relationships" name="Summary" sheetId="5" r:id="R2490241a0b6546bb"/>
    <x:sheet xmlns:r="http://schemas.openxmlformats.org/officeDocument/2006/relationships" name="Checks" sheetId="6" r:id="Rcfad2c0a7185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27dcf543948b4" /><Relationship Type="http://schemas.openxmlformats.org/officeDocument/2006/relationships/theme" Target="/xl/theme/theme1.xml" Id="Rbd35b303d7c64c40" /><Relationship Type="http://schemas.openxmlformats.org/officeDocument/2006/relationships/sharedStrings" Target="/xl/sharedStrings.xml" Id="Rb1fdc028e8eb46e9" /><Relationship Type="http://schemas.openxmlformats.org/officeDocument/2006/relationships/worksheet" Target="/xl/worksheets/sheet1.xml" Id="Rc530165f02fe4029" /><Relationship Type="http://schemas.openxmlformats.org/officeDocument/2006/relationships/worksheet" Target="/xl/worksheets/sheet2.xml" Id="R743ee568ea68417c" /><Relationship Type="http://schemas.openxmlformats.org/officeDocument/2006/relationships/worksheet" Target="/xl/worksheets/sheet3.xml" Id="Rddaa1c566d0d44d1" /><Relationship Type="http://schemas.openxmlformats.org/officeDocument/2006/relationships/worksheet" Target="/xl/worksheets/sheet4.xml" Id="R2dffd460695c40ea" /><Relationship Type="http://schemas.openxmlformats.org/officeDocument/2006/relationships/worksheet" Target="/xl/worksheets/sheet5.xml" Id="R2490241a0b6546bb" /><Relationship Type="http://schemas.openxmlformats.org/officeDocument/2006/relationships/worksheet" Target="/xl/worksheets/sheet6.xml" Id="Rcfad2c0a71854d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Redwood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8300</x:v>
      </x:c>
      <x:c r="C4" s="16" t="n">
        <x:v>8900</x:v>
      </x:c>
      <x:c r="D4" s="16" t="n">
        <x:v>9500</x:v>
      </x:c>
    </x:row>
    <x:row r="5">
      <x:c r="A5" s="16" t="str">
        <x:v>Average selling price ($)</x:v>
      </x:c>
      <x:c r="B5" s="16" t="n">
        <x:v>62</x:v>
      </x:c>
      <x:c r="C5" s="16" t="n">
        <x:v>64</x:v>
      </x:c>
      <x:c r="D5" s="16" t="n">
        <x:v>67</x:v>
      </x:c>
    </x:row>
    <x:row r="6">
      <x:c r="A6" s="16" t="str">
        <x:v>Gross margin</x:v>
      </x:c>
      <x:c r="B6" s="17" t="n">
        <x:v>0.42</x:v>
      </x:c>
      <x:c r="C6" s="17" t="n">
        <x:v>0.425</x:v>
      </x:c>
      <x:c r="D6" s="17" t="n">
        <x:v>0.43</x:v>
      </x:c>
    </x:row>
    <x:row r="7">
      <x:c r="A7" s="16" t="str">
        <x:v>Operating expense ($)</x:v>
      </x:c>
      <x:c r="B7" s="16" t="n">
        <x:v>95000</x:v>
      </x:c>
      <x:c r="C7" s="16" t="n">
        <x:v>99000</x:v>
      </x:c>
      <x:c r="D7" s="16" t="n">
        <x:v>103000</x:v>
      </x:c>
    </x:row>
    <x:row r="8">
      <x:c r="A8" s="16" t="str">
        <x:v>DSO</x:v>
      </x:c>
      <x:c r="B8" s="16" t="n">
        <x:v>41</x:v>
      </x:c>
      <x:c r="C8" s="16" t="n">
        <x:v>40</x:v>
      </x:c>
      <x:c r="D8" s="16" t="n">
        <x:v>39</x:v>
      </x:c>
    </x:row>
    <x:row r="9">
      <x:c r="A9" s="16" t="str">
        <x:v>Interest rate</x:v>
      </x:c>
      <x:c r="B9" s="17" t="n">
        <x:v>0.07</x:v>
      </x:c>
      <x:c r="C9" s="17" t="n">
        <x:v>0.07</x:v>
      </x:c>
      <x:c r="D9" s="17" t="n">
        <x:v>0.068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Redwood 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8300</x:v>
      </x:c>
      <x:c r="C4" s="19" t="n">
        <x:f>'Assumptions'!C4</x:f>
        <x:v>8900</x:v>
      </x:c>
      <x:c r="D4" s="19" t="n">
        <x:f>'Assumptions'!D4</x:f>
        <x:v>9500</x:v>
      </x:c>
    </x:row>
    <x:row r="5">
      <x:c r="A5" s="16" t="str">
        <x:v>Average selling price</x:v>
      </x:c>
      <x:c r="B5" s="19" t="n">
        <x:f>'Assumptions'!B5</x:f>
        <x:v>62</x:v>
      </x:c>
      <x:c r="C5" s="19" t="n">
        <x:f>'Assumptions'!C5</x:f>
        <x:v>64</x:v>
      </x:c>
      <x:c r="D5" s="19" t="n">
        <x:f>'Assumptions'!D5</x:f>
        <x:v>67</x:v>
      </x:c>
    </x:row>
    <x:row r="6">
      <x:c r="A6" s="16" t="str">
        <x:v>Revenue</x:v>
      </x:c>
      <x:c r="B6" s="19" t="n">
        <x:f>B4*B5</x:f>
        <x:v>514600</x:v>
      </x:c>
      <x:c r="C6" s="19" t="n">
        <x:f>C4*C5</x:f>
        <x:v>569600</x:v>
      </x:c>
      <x:c r="D6" s="19" t="n">
        <x:f>D4*D5</x:f>
        <x:v>636500</x:v>
      </x:c>
    </x:row>
    <x:row r="7">
      <x:c r="A7" s="16" t="str">
        <x:v>Gross profit</x:v>
      </x:c>
      <x:c r="B7" s="19" t="n">
        <x:f>B6*'Assumptions'!B6</x:f>
        <x:v>216132</x:v>
      </x:c>
      <x:c r="C7" s="19" t="n">
        <x:f>C6*'Assumptions'!C6</x:f>
        <x:v>242080</x:v>
      </x:c>
      <x:c r="D7" s="19" t="n">
        <x:f>D6*'Assumptions'!D6</x:f>
        <x:v>273695</x:v>
      </x:c>
    </x:row>
    <x:row r="8">
      <x:c r="A8" s="16" t="str">
        <x:v>Operating contribution</x:v>
      </x:c>
      <x:c r="B8" s="19" t="n">
        <x:f>B7-'Assumptions'!B7</x:f>
        <x:v>121132</x:v>
      </x:c>
      <x:c r="C8" s="19" t="n">
        <x:f>C7-'Assumptions'!C7</x:f>
        <x:v>143080</x:v>
      </x:c>
      <x:c r="D8" s="19" t="n">
        <x:f>D7-'Assumptions'!D7</x:f>
        <x:v>170695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Redwood 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514600</x:v>
      </x:c>
      <x:c r="C4" s="19" t="n">
        <x:f>'Revenue_Build'!C6</x:f>
        <x:v>569600</x:v>
      </x:c>
      <x:c r="D4" s="19" t="n">
        <x:f>'Revenue_Build'!D6</x:f>
        <x:v>636500</x:v>
      </x:c>
    </x:row>
    <x:row r="5">
      <x:c r="A5" s="16" t="str">
        <x:v>Accounts receivable</x:v>
      </x:c>
      <x:c r="B5" s="19" t="n">
        <x:f>B4/365*'Assumptions'!B8</x:f>
        <x:v>57804.38356164383</x:v>
      </x:c>
      <x:c r="C5" s="19" t="n">
        <x:f>C4/365*'Assumptions'!C8</x:f>
        <x:v>62421.91780821918</x:v>
      </x:c>
      <x:c r="D5" s="19" t="n">
        <x:f>D4/365*'Assumptions'!D8</x:f>
        <x:v>68009.58904109588</x:v>
      </x:c>
    </x:row>
    <x:row r="6">
      <x:c r="A6" s="16" t="str">
        <x:v>Change in accounts receivable</x:v>
      </x:c>
      <x:c r="B6" s="19" t="n">
        <x:f>B5-47000</x:f>
        <x:v>10804.38356164383</x:v>
      </x:c>
      <x:c r="C6" s="19" t="n">
        <x:f>C5-B5</x:f>
        <x:v>4617.534246575349</x:v>
      </x:c>
      <x:c r="D6" s="19" t="n">
        <x:f>D5-C5</x:f>
        <x:v>5587.671232876703</x:v>
      </x:c>
    </x:row>
    <x:row r="7">
      <x:c r="A7" s="16" t="str">
        <x:v>Cash impact</x:v>
      </x:c>
      <x:c r="B7" s="19" t="n">
        <x:f>-B6</x:f>
        <x:v>-10804.38356164383</x:v>
      </x:c>
      <x:c r="C7" s="19" t="n">
        <x:f>-C6</x:f>
        <x:v>-4617.534246575349</x:v>
      </x:c>
      <x:c r="D7" s="19" t="n">
        <x:f>-D6</x:f>
        <x:v>-5587.671232876703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Redwood 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175000</x:v>
      </x:c>
      <x:c r="C4" s="19" t="n">
        <x:f>B7</x:f>
        <x:v>163000</x:v>
      </x:c>
      <x:c r="D4" s="19" t="n">
        <x:f>C7</x:f>
        <x:v>149000</x:v>
      </x:c>
    </x:row>
    <x:row r="5">
      <x:c r="A5" s="16" t="str">
        <x:v>Interest expense</x:v>
      </x:c>
      <x:c r="B5" s="19" t="n">
        <x:f>B4*'Assumptions'!B9</x:f>
        <x:v>12250.000000000002</x:v>
      </x:c>
      <x:c r="C5" s="19" t="n">
        <x:f>C4*'Assumptions'!C9</x:f>
        <x:v>11410.000000000002</x:v>
      </x:c>
      <x:c r="D5" s="19" t="n">
        <x:f>D4*'Assumptions'!D9</x:f>
        <x:v>10132</x:v>
      </x:c>
    </x:row>
    <x:row r="6">
      <x:c r="A6" s="16" t="str">
        <x:v>Principal repayment</x:v>
      </x:c>
      <x:c r="B6" s="19" t="n">
        <x:v>12000</x:v>
      </x:c>
      <x:c r="C6" s="19" t="n">
        <x:v>14000</x:v>
      </x:c>
      <x:c r="D6" s="19" t="n">
        <x:v>16000</x:v>
      </x:c>
    </x:row>
    <x:row r="7">
      <x:c r="A7" s="16" t="str">
        <x:v>Closing debt</x:v>
      </x:c>
      <x:c r="B7" s="19" t="n">
        <x:f>B4-B6</x:f>
        <x:v>163000</x:v>
      </x:c>
      <x:c r="C7" s="19" t="n">
        <x:f>C4-C6</x:f>
        <x:v>149000</x:v>
      </x:c>
      <x:c r="D7" s="19" t="n">
        <x:f>D4-D6</x:f>
        <x:v>133000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Redwood 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514600</x:v>
      </x:c>
      <x:c r="C4" s="19" t="n">
        <x:f>'Revenue_Build'!C6</x:f>
        <x:v>569600</x:v>
      </x:c>
      <x:c r="D4" s="19" t="n">
        <x:f>'Revenue_Build'!D6</x:f>
        <x:v>636500</x:v>
      </x:c>
    </x:row>
    <x:row r="5">
      <x:c r="A5" s="16" t="str">
        <x:v>Operating contribution</x:v>
      </x:c>
      <x:c r="B5" s="19" t="n">
        <x:f>'Revenue_Build'!B8</x:f>
        <x:v>121132</x:v>
      </x:c>
      <x:c r="C5" s="19" t="n">
        <x:f>'Revenue_Build'!C8</x:f>
        <x:v>143080</x:v>
      </x:c>
      <x:c r="D5" s="19" t="n">
        <x:f>'Revenue_Build'!D8</x:f>
        <x:v>170695</x:v>
      </x:c>
    </x:row>
    <x:row r="6">
      <x:c r="A6" s="16" t="str">
        <x:v>Cash impact from working capital</x:v>
      </x:c>
      <x:c r="B6" s="19" t="n">
        <x:f>'Working_Capital'!B7</x:f>
        <x:v>-10804.38356164383</x:v>
      </x:c>
      <x:c r="C6" s="19" t="n">
        <x:f>'Working_Capital'!C7</x:f>
        <x:v>-4617.534246575349</x:v>
      </x:c>
      <x:c r="D6" s="19" t="n">
        <x:f>'Working_Capital'!D7</x:f>
        <x:v>-5587.671232876703</x:v>
      </x:c>
    </x:row>
    <x:row r="7">
      <x:c r="A7" s="16" t="str">
        <x:v>Interest expense</x:v>
      </x:c>
      <x:c r="B7" s="19" t="n">
        <x:f>'Debt_Schedule'!B5</x:f>
        <x:v>12250.000000000002</x:v>
      </x:c>
      <x:c r="C7" s="19" t="n">
        <x:f>'Debt_Schedule'!C5</x:f>
        <x:v>11410.000000000002</x:v>
      </x:c>
      <x:c r="D7" s="19" t="n">
        <x:f>'Debt_Schedule'!D5</x:f>
        <x:v>10132</x:v>
      </x:c>
    </x:row>
    <x:row r="8">
      <x:c r="A8" s="16" t="str">
        <x:v>Free cash flow before debt repayment</x:v>
      </x:c>
      <x:c r="B8" s="19" t="n">
        <x:f>B5+B6-B7</x:f>
        <x:v>98077.61643835617</x:v>
      </x:c>
      <x:c r="C8" s="19" t="n">
        <x:f>C5+C6-C7</x:f>
        <x:v>127052.46575342465</x:v>
      </x:c>
      <x:c r="D8" s="19" t="n">
        <x:f>D5+D6-D7</x:f>
        <x:v>154975.32876712328</x:v>
      </x:c>
    </x:row>
    <x:row r="9">
      <x:c r="A9" s="16" t="str">
        <x:v>Debt service coverage</x:v>
      </x:c>
      <x:c r="B9" s="21" t="n">
        <x:f>B8/'Debt_Schedule'!B6</x:f>
        <x:v>8.173134703196348</x:v>
      </x:c>
      <x:c r="C9" s="21" t="n">
        <x:f>C8/'Debt_Schedule'!C6</x:f>
        <x:v>9.075176125244617</x:v>
      </x:c>
      <x:c r="D9" s="21" t="n">
        <x:f>D8/'Debt_Schedule'!D6</x:f>
        <x:v>9.685958047945205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Redwood 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0</x:v>
      </x:c>
      <x:c r="C4" s="16" t="n">
        <x:v>0</x:v>
      </x:c>
      <x:c r="D4" s="16" t="str">
        <x:f>IF(ABS(B4-C4)&lt;0.01,"PASS","CHECK")</x:f>
        <x:v>PASS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0</x:v>
      </x:c>
      <x:c r="C5" s="16" t="n">
        <x:v>0</x:v>
      </x:c>
      <x:c r="D5" s="16" t="str">
        <x:f>IF(ABS(B5)&lt;0.01,"PASS","CHECK")</x:f>
        <x:v>PASS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0</x:v>
      </x:c>
      <x:c r="C6" s="16" t="n">
        <x:v>0</x:v>
      </x:c>
      <x:c r="D6" s="16" t="str">
        <x:f>IF(ABS(B6)&lt;0.01,"PASS","CHECK")</x:f>
        <x:v>PASS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