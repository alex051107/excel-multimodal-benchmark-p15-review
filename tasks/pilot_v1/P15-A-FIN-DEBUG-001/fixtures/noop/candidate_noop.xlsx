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7d5de887b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47e0384ec7b541bb"/>
    <x:sheet xmlns:r="http://schemas.openxmlformats.org/officeDocument/2006/relationships" name="Revenue_Build" sheetId="2" r:id="Rae6e2cb384de4012"/>
    <x:sheet xmlns:r="http://schemas.openxmlformats.org/officeDocument/2006/relationships" name="Working_Capital" sheetId="3" r:id="Ree7cefe7cd05402a"/>
    <x:sheet xmlns:r="http://schemas.openxmlformats.org/officeDocument/2006/relationships" name="Debt_Schedule" sheetId="4" r:id="Rf81f31de54bc4ad9"/>
    <x:sheet xmlns:r="http://schemas.openxmlformats.org/officeDocument/2006/relationships" name="Summary" sheetId="5" r:id="R828d2660da5b4225"/>
    <x:sheet xmlns:r="http://schemas.openxmlformats.org/officeDocument/2006/relationships" name="Checks" sheetId="6" r:id="R2bf5ba764a6b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d8af3ba7940ab" /><Relationship Type="http://schemas.openxmlformats.org/officeDocument/2006/relationships/theme" Target="/xl/theme/theme1.xml" Id="R7680177283f74ee6" /><Relationship Type="http://schemas.openxmlformats.org/officeDocument/2006/relationships/sharedStrings" Target="/xl/sharedStrings.xml" Id="R918b8f4ca1a94601" /><Relationship Type="http://schemas.openxmlformats.org/officeDocument/2006/relationships/worksheet" Target="/xl/worksheets/sheet1.xml" Id="R47e0384ec7b541bb" /><Relationship Type="http://schemas.openxmlformats.org/officeDocument/2006/relationships/worksheet" Target="/xl/worksheets/sheet2.xml" Id="Rae6e2cb384de4012" /><Relationship Type="http://schemas.openxmlformats.org/officeDocument/2006/relationships/worksheet" Target="/xl/worksheets/sheet3.xml" Id="Ree7cefe7cd05402a" /><Relationship Type="http://schemas.openxmlformats.org/officeDocument/2006/relationships/worksheet" Target="/xl/worksheets/sheet4.xml" Id="Rf81f31de54bc4ad9" /><Relationship Type="http://schemas.openxmlformats.org/officeDocument/2006/relationships/worksheet" Target="/xl/worksheets/sheet5.xml" Id="R828d2660da5b4225" /><Relationship Type="http://schemas.openxmlformats.org/officeDocument/2006/relationships/worksheet" Target="/xl/worksheets/sheet6.xml" Id="R2bf5ba764a6b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C4*D5</x:f>
        <x:v>645000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303150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165150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75986.30136986301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-212.05479452054715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-D6</x:f>
        <x:v>212.05479452054715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165150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212.05479452054715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f>D5+D6-D7</x:f>
        <x:v>153207.05479452055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7.660352739726028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-40000</x:v>
      </x:c>
      <x:c r="C4" s="16" t="n">
        <x:v>0</x:v>
      </x:c>
      <x:c r="D4" s="16" t="str">
        <x:f>IF(ABS(B4-C4)&lt;0.01,"PASS","CHECK")</x:f>
        <x:v>CHECK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