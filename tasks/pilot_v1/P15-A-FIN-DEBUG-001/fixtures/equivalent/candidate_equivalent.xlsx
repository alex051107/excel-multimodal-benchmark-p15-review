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04870fe28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07baaf09db954efd"/>
    <x:sheet xmlns:r="http://schemas.openxmlformats.org/officeDocument/2006/relationships" name="Revenue_Build" sheetId="2" r:id="R758af87b143340a6"/>
    <x:sheet xmlns:r="http://schemas.openxmlformats.org/officeDocument/2006/relationships" name="Working_Capital" sheetId="3" r:id="R1e3fad5395574afc"/>
    <x:sheet xmlns:r="http://schemas.openxmlformats.org/officeDocument/2006/relationships" name="Debt_Schedule" sheetId="4" r:id="R84d744c6708147ca"/>
    <x:sheet xmlns:r="http://schemas.openxmlformats.org/officeDocument/2006/relationships" name="Summary" sheetId="5" r:id="R600af4d696b9492e"/>
    <x:sheet xmlns:r="http://schemas.openxmlformats.org/officeDocument/2006/relationships" name="Checks" sheetId="6" r:id="R6153f1d0811f44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"/>
    <x:numFmt numFmtId="202" formatCode="0.00x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27b16265b04ac5" /><Relationship Type="http://schemas.openxmlformats.org/officeDocument/2006/relationships/theme" Target="/xl/theme/theme1.xml" Id="R00965b5fccf94060" /><Relationship Type="http://schemas.openxmlformats.org/officeDocument/2006/relationships/sharedStrings" Target="/xl/sharedStrings.xml" Id="R1ab7e2aa50384db3" /><Relationship Type="http://schemas.openxmlformats.org/officeDocument/2006/relationships/worksheet" Target="/xl/worksheets/sheet1.xml" Id="R07baaf09db954efd" /><Relationship Type="http://schemas.openxmlformats.org/officeDocument/2006/relationships/worksheet" Target="/xl/worksheets/sheet2.xml" Id="R758af87b143340a6" /><Relationship Type="http://schemas.openxmlformats.org/officeDocument/2006/relationships/worksheet" Target="/xl/worksheets/sheet3.xml" Id="R1e3fad5395574afc" /><Relationship Type="http://schemas.openxmlformats.org/officeDocument/2006/relationships/worksheet" Target="/xl/worksheets/sheet4.xml" Id="R84d744c6708147ca" /><Relationship Type="http://schemas.openxmlformats.org/officeDocument/2006/relationships/worksheet" Target="/xl/worksheets/sheet5.xml" Id="R600af4d696b9492e" /><Relationship Type="http://schemas.openxmlformats.org/officeDocument/2006/relationships/worksheet" Target="/xl/worksheets/sheet6.xml" Id="R6153f1d0811f44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6" customHeight="1">
      <x:c r="A1" s="14" t="str">
        <x:v>Lakebridge FP&amp;A Forecast Assumptions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Driver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6" t="n">
        <x:v>12000</x:v>
      </x:c>
      <x:c r="C4" s="16" t="n">
        <x:v>12900</x:v>
      </x:c>
      <x:c r="D4" s="16" t="n">
        <x:v>13700</x:v>
      </x:c>
    </x:row>
    <x:row r="5">
      <x:c r="A5" s="16" t="str">
        <x:v>Average selling price ($)</x:v>
      </x:c>
      <x:c r="B5" s="16" t="n">
        <x:v>48</x:v>
      </x:c>
      <x:c r="C5" s="16" t="n">
        <x:v>49</x:v>
      </x:c>
      <x:c r="D5" s="16" t="n">
        <x:v>50</x:v>
      </x:c>
    </x:row>
    <x:row r="6">
      <x:c r="A6" s="16" t="str">
        <x:v>Gross margin</x:v>
      </x:c>
      <x:c r="B6" s="17" t="n">
        <x:v>0.46</x:v>
      </x:c>
      <x:c r="C6" s="17" t="n">
        <x:v>0.465</x:v>
      </x:c>
      <x:c r="D6" s="17" t="n">
        <x:v>0.47</x:v>
      </x:c>
    </x:row>
    <x:row r="7">
      <x:c r="A7" s="16" t="str">
        <x:v>Operating expense ($)</x:v>
      </x:c>
      <x:c r="B7" s="16" t="n">
        <x:v>130000</x:v>
      </x:c>
      <x:c r="C7" s="16" t="n">
        <x:v>134000</x:v>
      </x:c>
      <x:c r="D7" s="16" t="n">
        <x:v>138000</x:v>
      </x:c>
    </x:row>
    <x:row r="8">
      <x:c r="A8" s="16" t="str">
        <x:v>DSO</x:v>
      </x:c>
      <x:c r="B8" s="16" t="n">
        <x:v>44</x:v>
      </x:c>
      <x:c r="C8" s="16" t="n">
        <x:v>44</x:v>
      </x:c>
      <x:c r="D8" s="16" t="n">
        <x:v>43</x:v>
      </x:c>
    </x:row>
    <x:row r="9">
      <x:c r="A9" s="16" t="str">
        <x:v>Interest rate</x:v>
      </x:c>
      <x:c r="B9" s="17" t="n">
        <x:v>0.065</x:v>
      </x:c>
      <x:c r="C9" s="17" t="n">
        <x:v>0.065</x:v>
      </x:c>
      <x:c r="D9" s="17" t="n">
        <x:v>0.065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Revenue and Gross Profit Build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Unit volume</x:v>
      </x:c>
      <x:c r="B4" s="19" t="n">
        <x:f>'Assumptions'!B4</x:f>
        <x:v>12000</x:v>
      </x:c>
      <x:c r="C4" s="19" t="n">
        <x:f>'Assumptions'!C4</x:f>
        <x:v>12900</x:v>
      </x:c>
      <x:c r="D4" s="19" t="n">
        <x:f>'Assumptions'!D4</x:f>
        <x:v>13700</x:v>
      </x:c>
    </x:row>
    <x:row r="5">
      <x:c r="A5" s="16" t="str">
        <x:v>Average selling price</x:v>
      </x:c>
      <x:c r="B5" s="19" t="n">
        <x:f>'Assumptions'!B5</x:f>
        <x:v>48</x:v>
      </x:c>
      <x:c r="C5" s="19" t="n">
        <x:f>'Assumptions'!C5</x:f>
        <x:v>49</x:v>
      </x:c>
      <x:c r="D5" s="19" t="n">
        <x:f>'Assumptions'!D5</x:f>
        <x:v>50</x:v>
      </x:c>
    </x:row>
    <x:row r="6">
      <x:c r="A6" s="16" t="str">
        <x:v>Revenue</x:v>
      </x:c>
      <x:c r="B6" s="19" t="n">
        <x:f>B4*B5</x:f>
        <x:v>576000</x:v>
      </x:c>
      <x:c r="C6" s="19" t="n">
        <x:f>C4*C5</x:f>
        <x:v>632100</x:v>
      </x:c>
      <x:c r="D6" s="19" t="n">
        <x:f>'Assumptions'!D4*'Assumptions'!D5</x:f>
        <x:v>685000</x:v>
      </x:c>
    </x:row>
    <x:row r="7">
      <x:c r="A7" s="16" t="str">
        <x:v>Gross profit</x:v>
      </x:c>
      <x:c r="B7" s="19" t="n">
        <x:f>B6*'Assumptions'!B6</x:f>
        <x:v>264960</x:v>
      </x:c>
      <x:c r="C7" s="19" t="n">
        <x:f>C6*'Assumptions'!C6</x:f>
        <x:v>293926.5</x:v>
      </x:c>
      <x:c r="D7" s="19" t="n">
        <x:f>D6*'Assumptions'!D6</x:f>
        <x:v>321950</x:v>
      </x:c>
    </x:row>
    <x:row r="8">
      <x:c r="A8" s="16" t="str">
        <x:v>Operating contribution</x:v>
      </x:c>
      <x:c r="B8" s="19" t="n">
        <x:f>B7-'Assumptions'!B7</x:f>
        <x:v>134960</x:v>
      </x:c>
      <x:c r="C8" s="19" t="n">
        <x:f>C7-'Assumptions'!C7</x:f>
        <x:v>159926.5</x:v>
      </x:c>
      <x:c r="D8" s="19" t="n">
        <x:f>D7-'Assumptions'!D7</x:f>
        <x:v>183950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Working Capital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576000</x:v>
      </x:c>
      <x:c r="C4" s="19" t="n">
        <x:f>'Revenue_Build'!C6</x:f>
        <x:v>632100</x:v>
      </x:c>
      <x:c r="D4" s="19" t="n">
        <x:f>'Revenue_Build'!D6</x:f>
        <x:v>685000</x:v>
      </x:c>
    </x:row>
    <x:row r="5">
      <x:c r="A5" s="16" t="str">
        <x:v>Accounts receivable</x:v>
      </x:c>
      <x:c r="B5" s="19" t="n">
        <x:f>B4/365*'Assumptions'!B8</x:f>
        <x:v>69435.61643835616</x:v>
      </x:c>
      <x:c r="C5" s="19" t="n">
        <x:f>C4/365*'Assumptions'!C8</x:f>
        <x:v>76198.35616438356</x:v>
      </x:c>
      <x:c r="D5" s="19" t="n">
        <x:f>D4/365*'Assumptions'!D8</x:f>
        <x:v>80698.6301369863</x:v>
      </x:c>
    </x:row>
    <x:row r="6">
      <x:c r="A6" s="16" t="str">
        <x:v>Change in accounts receivable</x:v>
      </x:c>
      <x:c r="B6" s="19" t="n">
        <x:f>B5-58000</x:f>
        <x:v>11435.616438356155</x:v>
      </x:c>
      <x:c r="C6" s="19" t="n">
        <x:f>C5-B5</x:f>
        <x:v>6762.739726027401</x:v>
      </x:c>
      <x:c r="D6" s="19" t="n">
        <x:f>D5-C5</x:f>
        <x:v>4500.27397260275</x:v>
      </x:c>
    </x:row>
    <x:row r="7">
      <x:c r="A7" s="16" t="str">
        <x:v>Cash impact</x:v>
      </x:c>
      <x:c r="B7" s="19" t="n">
        <x:f>-B6</x:f>
        <x:v>-11435.616438356155</x:v>
      </x:c>
      <x:c r="C7" s="19" t="n">
        <x:f>-C6</x:f>
        <x:v>-6762.739726027401</x:v>
      </x:c>
      <x:c r="D7" s="19" t="n">
        <x:f>-D6</x:f>
        <x:v>-4500.27397260275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Debt and Interest Schedule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Opening debt</x:v>
      </x:c>
      <x:c r="B4" s="19" t="n">
        <x:v>220000</x:v>
      </x:c>
      <x:c r="C4" s="19" t="n">
        <x:f>B7</x:f>
        <x:v>205000</x:v>
      </x:c>
      <x:c r="D4" s="19" t="n">
        <x:f>C7</x:f>
        <x:v>187000</x:v>
      </x:c>
    </x:row>
    <x:row r="5">
      <x:c r="A5" s="16" t="str">
        <x:v>Interest expense</x:v>
      </x:c>
      <x:c r="B5" s="19" t="n">
        <x:f>B4*'Assumptions'!B9</x:f>
        <x:v>14300</x:v>
      </x:c>
      <x:c r="C5" s="19" t="n">
        <x:f>C4*'Assumptions'!C9</x:f>
        <x:v>13325</x:v>
      </x:c>
      <x:c r="D5" s="19" t="n">
        <x:f>D4*'Assumptions'!D9</x:f>
        <x:v>12155</x:v>
      </x:c>
    </x:row>
    <x:row r="6">
      <x:c r="A6" s="16" t="str">
        <x:v>Principal repayment</x:v>
      </x:c>
      <x:c r="B6" s="19" t="n">
        <x:v>15000</x:v>
      </x:c>
      <x:c r="C6" s="19" t="n">
        <x:v>18000</x:v>
      </x:c>
      <x:c r="D6" s="19" t="n">
        <x:v>20000</x:v>
      </x:c>
    </x:row>
    <x:row r="7">
      <x:c r="A7" s="16" t="str">
        <x:v>Closing debt</x:v>
      </x:c>
      <x:c r="B7" s="19" t="n">
        <x:f>B4-B6</x:f>
        <x:v>205000</x:v>
      </x:c>
      <x:c r="C7" s="19" t="n">
        <x:f>C4-C6</x:f>
        <x:v>187000</x:v>
      </x:c>
      <x:c r="D7" s="19" t="n">
        <x:f>D4-D6</x:f>
        <x:v>167000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6" customHeight="1">
      <x:c r="A1" s="14" t="str">
        <x:v>FP&amp;A Summary</x:v>
      </x:c>
      <x:c r="B1" s="14"/>
      <x:c r="C1" s="14"/>
      <x:c r="D1" s="14"/>
      <x:c r="E1" s="4"/>
    </x:row>
    <x:row r="2">
      <x:c r="A2" s="15"/>
      <x:c r="B2" s="15"/>
      <x:c r="C2" s="15"/>
      <x:c r="D2" s="15"/>
    </x:row>
    <x:row r="3">
      <x:c r="A3" s="10" t="str">
        <x:v>Metric</x:v>
      </x:c>
      <x:c r="B3" s="10" t="str">
        <x:v>2025E</x:v>
      </x:c>
      <x:c r="C3" s="10" t="str">
        <x:v>2026E</x:v>
      </x:c>
      <x:c r="D3" s="10" t="str">
        <x:v>2027E</x:v>
      </x:c>
    </x:row>
    <x:row r="4">
      <x:c r="A4" s="16" t="str">
        <x:v>Revenue</x:v>
      </x:c>
      <x:c r="B4" s="19" t="n">
        <x:f>'Revenue_Build'!B6</x:f>
        <x:v>576000</x:v>
      </x:c>
      <x:c r="C4" s="19" t="n">
        <x:f>'Revenue_Build'!C6</x:f>
        <x:v>632100</x:v>
      </x:c>
      <x:c r="D4" s="19" t="n">
        <x:f>'Revenue_Build'!D6</x:f>
        <x:v>685000</x:v>
      </x:c>
    </x:row>
    <x:row r="5">
      <x:c r="A5" s="16" t="str">
        <x:v>Operating contribution</x:v>
      </x:c>
      <x:c r="B5" s="19" t="n">
        <x:f>'Revenue_Build'!B8</x:f>
        <x:v>134960</x:v>
      </x:c>
      <x:c r="C5" s="19" t="n">
        <x:f>'Revenue_Build'!C8</x:f>
        <x:v>159926.5</x:v>
      </x:c>
      <x:c r="D5" s="19" t="n">
        <x:f>'Revenue_Build'!D8</x:f>
        <x:v>183950</x:v>
      </x:c>
    </x:row>
    <x:row r="6">
      <x:c r="A6" s="16" t="str">
        <x:v>Cash impact from working capital</x:v>
      </x:c>
      <x:c r="B6" s="19" t="n">
        <x:f>'Working_Capital'!B7</x:f>
        <x:v>-11435.616438356155</x:v>
      </x:c>
      <x:c r="C6" s="19" t="n">
        <x:f>'Working_Capital'!C7</x:f>
        <x:v>-6762.739726027401</x:v>
      </x:c>
      <x:c r="D6" s="19" t="n">
        <x:f>'Working_Capital'!D7</x:f>
        <x:v>-4500.27397260275</x:v>
      </x:c>
    </x:row>
    <x:row r="7">
      <x:c r="A7" s="16" t="str">
        <x:v>Interest expense</x:v>
      </x:c>
      <x:c r="B7" s="19" t="n">
        <x:f>'Debt_Schedule'!B5</x:f>
        <x:v>14300</x:v>
      </x:c>
      <x:c r="C7" s="19" t="n">
        <x:f>'Debt_Schedule'!C5</x:f>
        <x:v>13325</x:v>
      </x:c>
      <x:c r="D7" s="19" t="n">
        <x:f>'Debt_Schedule'!D5</x:f>
        <x:v>12155</x:v>
      </x:c>
    </x:row>
    <x:row r="8">
      <x:c r="A8" s="16" t="str">
        <x:v>Free cash flow before debt repayment</x:v>
      </x:c>
      <x:c r="B8" s="19" t="n">
        <x:f>B5+B6-B7</x:f>
        <x:v>109224.38356164384</x:v>
      </x:c>
      <x:c r="C8" s="19" t="n">
        <x:f>C5+C6-C7</x:f>
        <x:v>139838.76027397258</x:v>
      </x:c>
      <x:c r="D8" s="19" t="n">
        <x:f>D5+D6-D7</x:f>
        <x:v>167294.72602739726</x:v>
      </x:c>
    </x:row>
    <x:row r="9">
      <x:c r="A9" s="16" t="str">
        <x:v>Debt service coverage</x:v>
      </x:c>
      <x:c r="B9" s="21" t="n">
        <x:f>B8/'Debt_Schedule'!B6</x:f>
        <x:v>7.2816255707762565</x:v>
      </x:c>
      <x:c r="C9" s="21" t="n">
        <x:f>C8/'Debt_Schedule'!C6</x:f>
        <x:v>7.768820015220699</x:v>
      </x:c>
      <x:c r="D9" s="21" t="n">
        <x:f>D8/'Debt_Schedule'!D6</x:f>
        <x:v>8.364736301369863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5" hidden="0" customWidth="1"/>
    <x:col min="5" max="5" width="45" hidden="0" customWidth="1"/>
  </x:cols>
  <x:sheetData>
    <x:row r="1" ht="26" customHeight="1">
      <x:c r="A1" s="14" t="str">
        <x:v>Repair and Integrity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Integrated output tie-out</x:v>
      </x:c>
      <x:c r="B4" s="16" t="n">
        <x:f>'Summary'!D4-('Assumptions'!D4*'Assumptions'!D5)</x:f>
        <x:v>0</x:v>
      </x:c>
      <x:c r="C4" s="16" t="n">
        <x:v>0</x:v>
      </x:c>
      <x:c r="D4" s="16" t="str">
        <x:f>IF(ABS(B4-C4)&lt;0.01,"PASS","CHECK")</x:f>
        <x:v>PASS</x:v>
      </x:c>
      <x:c r="E4" s="16" t="str">
        <x:v>Trace upstream forecast drivers</x:v>
      </x:c>
    </x:row>
    <x:row r="5">
      <x:c r="A5" s="16" t="str">
        <x:v>Working-capital cash impact</x:v>
      </x:c>
      <x:c r="B5" s="16" t="n">
        <x:f>'Working_Capital'!D7+'Working_Capital'!D6</x:f>
        <x:v>0</x:v>
      </x:c>
      <x:c r="C5" s="16" t="n">
        <x:v>0</x:v>
      </x:c>
      <x:c r="D5" s="16" t="str">
        <x:f>IF(ABS(B5)&lt;0.01,"PASS","CHECK")</x:f>
        <x:v>PASS</x:v>
      </x:c>
      <x:c r="E5" s="16" t="str">
        <x:v>Negative change in AR</x:v>
      </x:c>
    </x:row>
    <x:row r="6">
      <x:c r="A6" s="16" t="str">
        <x:v>Summary FCF bridge</x:v>
      </x:c>
      <x:c r="B6" s="16" t="n">
        <x:f>'Summary'!D8-('Summary'!D5+'Summary'!D6-'Summary'!D7)</x:f>
        <x:v>0</x:v>
      </x:c>
      <x:c r="C6" s="16" t="n">
        <x:v>0</x:v>
      </x:c>
      <x:c r="D6" s="16" t="str">
        <x:f>IF(ABS(B6)&lt;0.01,"PASS","CHECK")</x:f>
        <x:v>PASS</x:v>
      </x:c>
      <x:c r="E6" s="16" t="str">
        <x:v>Operating contribution + WC cash - interest</x:v>
      </x:c>
    </x:row>
    <x:row r="7">
      <x:c r="A7" s="16" t="str">
        <x:v>No source assumption edits</x:v>
      </x:c>
      <x:c r="B7" s="16"/>
      <x:c r="C7" s="16"/>
      <x:c r="D7" s="16"/>
      <x:c r="E7" s="16" t="str">
        <x:v>Assumptions are protected</x:v>
      </x:c>
    </x:row>
  </x:sheetData>
  <x:mergeCells>
    <x:mergeCell ref="A1:E1"/>
  </x:mergeCells>
  <x:pageMargins left="0.7" right="0.7" top="0.75" bottom="0.75" header="0.3" footer="0.3"/>
</x:worksheet>
</file>