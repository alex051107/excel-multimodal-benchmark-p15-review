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evenue_Build" sheetId="2" state="visible" r:id="rId2"/>
    <sheet xmlns:r="http://schemas.openxmlformats.org/officeDocument/2006/relationships" name="Working_Capital" sheetId="3" state="visible" r:id="rId3"/>
    <sheet xmlns:r="http://schemas.openxmlformats.org/officeDocument/2006/relationships" name="Debt_Schedule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Checks" sheetId="6" state="visible" r:id="rId6"/>
  </sheets>
  <definedNames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x"/>
  </numFmts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1F2937"/>
      <sz val="11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  <col width="15" customWidth="1" min="4" max="4"/>
  </cols>
  <sheetData>
    <row r="1" ht="26" customHeight="1">
      <c r="A1" s="14" t="inlineStr">
        <is>
          <t>Lakebridge FP&amp;A Forecast Assumptions</t>
        </is>
      </c>
    </row>
    <row r="2">
      <c r="A2" s="15" t="n"/>
      <c r="B2" s="15" t="n"/>
      <c r="C2" s="15" t="n"/>
      <c r="D2" s="15" t="n"/>
    </row>
    <row r="3">
      <c r="A3" s="10" t="inlineStr">
        <is>
          <t>Driver</t>
        </is>
      </c>
      <c r="B3" s="10" t="inlineStr">
        <is>
          <t>2025E</t>
        </is>
      </c>
      <c r="C3" s="10" t="inlineStr">
        <is>
          <t>2026E</t>
        </is>
      </c>
      <c r="D3" s="10" t="inlineStr">
        <is>
          <t>2027E</t>
        </is>
      </c>
    </row>
    <row r="4">
      <c r="A4" s="16" t="inlineStr">
        <is>
          <t>Unit volume</t>
        </is>
      </c>
      <c r="B4" s="16" t="n">
        <v>12000</v>
      </c>
      <c r="C4" s="16" t="n">
        <v>12900</v>
      </c>
      <c r="D4" s="16" t="n">
        <v>13700</v>
      </c>
    </row>
    <row r="5">
      <c r="A5" s="16" t="inlineStr">
        <is>
          <t>Average selling price ($)</t>
        </is>
      </c>
      <c r="B5" s="16" t="n">
        <v>48</v>
      </c>
      <c r="C5" s="16" t="n">
        <v>49</v>
      </c>
      <c r="D5" s="16" t="n">
        <v>50</v>
      </c>
    </row>
    <row r="6">
      <c r="A6" s="16" t="inlineStr">
        <is>
          <t>Gross margin</t>
        </is>
      </c>
      <c r="B6" s="22" t="n">
        <v>0.46</v>
      </c>
      <c r="C6" s="22" t="n">
        <v>0.465</v>
      </c>
      <c r="D6" s="22" t="n">
        <v>0.47</v>
      </c>
    </row>
    <row r="7">
      <c r="A7" s="16" t="inlineStr">
        <is>
          <t>Operating expense ($)</t>
        </is>
      </c>
      <c r="B7" s="16" t="n">
        <v>130000</v>
      </c>
      <c r="C7" s="16" t="n">
        <v>134000</v>
      </c>
      <c r="D7" s="16" t="n">
        <v>138000</v>
      </c>
    </row>
    <row r="8">
      <c r="A8" s="16" t="inlineStr">
        <is>
          <t>DSO</t>
        </is>
      </c>
      <c r="B8" s="16" t="n">
        <v>44</v>
      </c>
      <c r="C8" s="16" t="n">
        <v>44</v>
      </c>
      <c r="D8" s="16" t="n">
        <v>43</v>
      </c>
    </row>
    <row r="9">
      <c r="A9" s="16" t="inlineStr">
        <is>
          <t>Interest rate</t>
        </is>
      </c>
      <c r="B9" s="22" t="n">
        <v>0.065</v>
      </c>
      <c r="C9" s="22" t="n">
        <v>0.065</v>
      </c>
      <c r="D9" s="22" t="n">
        <v>0.065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14" t="inlineStr">
        <is>
          <t>Revenue and Gross Profit Build</t>
        </is>
      </c>
    </row>
    <row r="2">
      <c r="A2" s="15" t="n"/>
      <c r="B2" s="15" t="n"/>
      <c r="C2" s="15" t="n"/>
      <c r="D2" s="15" t="n"/>
    </row>
    <row r="3">
      <c r="A3" s="10" t="inlineStr">
        <is>
          <t>Metric</t>
        </is>
      </c>
      <c r="B3" s="10" t="inlineStr">
        <is>
          <t>2025E</t>
        </is>
      </c>
      <c r="C3" s="10" t="inlineStr">
        <is>
          <t>2026E</t>
        </is>
      </c>
      <c r="D3" s="10" t="inlineStr">
        <is>
          <t>2027E</t>
        </is>
      </c>
    </row>
    <row r="4">
      <c r="A4" s="16" t="inlineStr">
        <is>
          <t>Unit volume</t>
        </is>
      </c>
      <c r="B4" s="23">
        <f>'Assumptions'!B4</f>
        <v/>
      </c>
      <c r="C4" s="23">
        <f>'Assumptions'!C4</f>
        <v/>
      </c>
      <c r="D4" s="23">
        <f>'Assumptions'!D4</f>
        <v/>
      </c>
    </row>
    <row r="5">
      <c r="A5" s="16" t="inlineStr">
        <is>
          <t>Average selling price</t>
        </is>
      </c>
      <c r="B5" s="23">
        <f>'Assumptions'!B5</f>
        <v/>
      </c>
      <c r="C5" s="23">
        <f>'Assumptions'!C5</f>
        <v/>
      </c>
      <c r="D5" s="23">
        <f>'Assumptions'!D5</f>
        <v/>
      </c>
    </row>
    <row r="6">
      <c r="A6" s="16" t="inlineStr">
        <is>
          <t>Revenue</t>
        </is>
      </c>
      <c r="B6" s="23">
        <f>B4*B5</f>
        <v/>
      </c>
      <c r="C6" s="23">
        <f>C4*C5</f>
        <v/>
      </c>
      <c r="D6" s="23">
        <f>685000</f>
        <v/>
      </c>
    </row>
    <row r="7">
      <c r="A7" s="16" t="inlineStr">
        <is>
          <t>Gross profit</t>
        </is>
      </c>
      <c r="B7" s="23">
        <f>B6*'Assumptions'!B6</f>
        <v/>
      </c>
      <c r="C7" s="23">
        <f>C6*'Assumptions'!C6</f>
        <v/>
      </c>
      <c r="D7" s="23">
        <f>D6*'Assumptions'!D6</f>
        <v/>
      </c>
    </row>
    <row r="8">
      <c r="A8" s="16" t="inlineStr">
        <is>
          <t>Operating contribution</t>
        </is>
      </c>
      <c r="B8" s="23">
        <f>B7-'Assumptions'!B7</f>
        <v/>
      </c>
      <c r="C8" s="23">
        <f>C7-'Assumptions'!C7</f>
        <v/>
      </c>
      <c r="D8" s="23">
        <f>D7-'Assumptions'!D7</f>
        <v/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14" t="inlineStr">
        <is>
          <t>Working Capital Schedule</t>
        </is>
      </c>
    </row>
    <row r="2">
      <c r="A2" s="15" t="n"/>
      <c r="B2" s="15" t="n"/>
      <c r="C2" s="15" t="n"/>
      <c r="D2" s="15" t="n"/>
    </row>
    <row r="3">
      <c r="A3" s="10" t="inlineStr">
        <is>
          <t>Metric</t>
        </is>
      </c>
      <c r="B3" s="10" t="inlineStr">
        <is>
          <t>2025E</t>
        </is>
      </c>
      <c r="C3" s="10" t="inlineStr">
        <is>
          <t>2026E</t>
        </is>
      </c>
      <c r="D3" s="10" t="inlineStr">
        <is>
          <t>2027E</t>
        </is>
      </c>
    </row>
    <row r="4">
      <c r="A4" s="16" t="inlineStr">
        <is>
          <t>Revenue</t>
        </is>
      </c>
      <c r="B4" s="23">
        <f>'Revenue_Build'!B6</f>
        <v/>
      </c>
      <c r="C4" s="23">
        <f>'Revenue_Build'!C6</f>
        <v/>
      </c>
      <c r="D4" s="23">
        <f>'Revenue_Build'!D6</f>
        <v/>
      </c>
    </row>
    <row r="5">
      <c r="A5" s="16" t="inlineStr">
        <is>
          <t>Accounts receivable</t>
        </is>
      </c>
      <c r="B5" s="23">
        <f>B4/365*'Assumptions'!B8</f>
        <v/>
      </c>
      <c r="C5" s="23">
        <f>C4/365*'Assumptions'!C8</f>
        <v/>
      </c>
      <c r="D5" s="23">
        <f>D4/365*'Assumptions'!D8</f>
        <v/>
      </c>
    </row>
    <row r="6">
      <c r="A6" s="16" t="inlineStr">
        <is>
          <t>Change in accounts receivable</t>
        </is>
      </c>
      <c r="B6" s="23">
        <f>B5-58000</f>
        <v/>
      </c>
      <c r="C6" s="23">
        <f>C5-B5</f>
        <v/>
      </c>
      <c r="D6" s="23">
        <f>D5-C5</f>
        <v/>
      </c>
    </row>
    <row r="7">
      <c r="A7" s="16" t="inlineStr">
        <is>
          <t>Cash impact</t>
        </is>
      </c>
      <c r="B7" s="23">
        <f>-B6</f>
        <v/>
      </c>
      <c r="C7" s="23">
        <f>-C6</f>
        <v/>
      </c>
      <c r="D7" s="23">
        <f>-D6</f>
        <v/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14" t="inlineStr">
        <is>
          <t>Debt and Interest Schedule</t>
        </is>
      </c>
    </row>
    <row r="2">
      <c r="A2" s="15" t="n"/>
      <c r="B2" s="15" t="n"/>
      <c r="C2" s="15" t="n"/>
      <c r="D2" s="15" t="n"/>
    </row>
    <row r="3">
      <c r="A3" s="10" t="inlineStr">
        <is>
          <t>Metric</t>
        </is>
      </c>
      <c r="B3" s="10" t="inlineStr">
        <is>
          <t>2025E</t>
        </is>
      </c>
      <c r="C3" s="10" t="inlineStr">
        <is>
          <t>2026E</t>
        </is>
      </c>
      <c r="D3" s="10" t="inlineStr">
        <is>
          <t>2027E</t>
        </is>
      </c>
    </row>
    <row r="4">
      <c r="A4" s="16" t="inlineStr">
        <is>
          <t>Opening debt</t>
        </is>
      </c>
      <c r="B4" s="23" t="n">
        <v>220000</v>
      </c>
      <c r="C4" s="23">
        <f>B7</f>
        <v/>
      </c>
      <c r="D4" s="23">
        <f>C7</f>
        <v/>
      </c>
    </row>
    <row r="5">
      <c r="A5" s="16" t="inlineStr">
        <is>
          <t>Interest expense</t>
        </is>
      </c>
      <c r="B5" s="23">
        <f>B4*'Assumptions'!B9</f>
        <v/>
      </c>
      <c r="C5" s="23">
        <f>C4*'Assumptions'!C9</f>
        <v/>
      </c>
      <c r="D5" s="23">
        <f>D4*'Assumptions'!D9</f>
        <v/>
      </c>
    </row>
    <row r="6">
      <c r="A6" s="16" t="inlineStr">
        <is>
          <t>Principal repayment</t>
        </is>
      </c>
      <c r="B6" s="23" t="n">
        <v>15000</v>
      </c>
      <c r="C6" s="23" t="n">
        <v>18000</v>
      </c>
      <c r="D6" s="23" t="n">
        <v>20000</v>
      </c>
    </row>
    <row r="7">
      <c r="A7" s="16" t="inlineStr">
        <is>
          <t>Closing debt</t>
        </is>
      </c>
      <c r="B7" s="23">
        <f>B4-B6</f>
        <v/>
      </c>
      <c r="C7" s="23">
        <f>C4-C6</f>
        <v/>
      </c>
      <c r="D7" s="23">
        <f>D4-D6</f>
        <v/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14" t="inlineStr">
        <is>
          <t>FP&amp;A Summary</t>
        </is>
      </c>
    </row>
    <row r="2">
      <c r="A2" s="15" t="n"/>
      <c r="B2" s="15" t="n"/>
      <c r="C2" s="15" t="n"/>
      <c r="D2" s="15" t="n"/>
    </row>
    <row r="3">
      <c r="A3" s="10" t="inlineStr">
        <is>
          <t>Metric</t>
        </is>
      </c>
      <c r="B3" s="10" t="inlineStr">
        <is>
          <t>2025E</t>
        </is>
      </c>
      <c r="C3" s="10" t="inlineStr">
        <is>
          <t>2026E</t>
        </is>
      </c>
      <c r="D3" s="10" t="inlineStr">
        <is>
          <t>2027E</t>
        </is>
      </c>
    </row>
    <row r="4">
      <c r="A4" s="16" t="inlineStr">
        <is>
          <t>Revenue</t>
        </is>
      </c>
      <c r="B4" s="23">
        <f>'Revenue_Build'!B6</f>
        <v/>
      </c>
      <c r="C4" s="23">
        <f>'Revenue_Build'!C6</f>
        <v/>
      </c>
      <c r="D4" s="23">
        <f>'Revenue_Build'!D6</f>
        <v/>
      </c>
    </row>
    <row r="5">
      <c r="A5" s="16" t="inlineStr">
        <is>
          <t>Operating contribution</t>
        </is>
      </c>
      <c r="B5" s="23">
        <f>'Revenue_Build'!B8</f>
        <v/>
      </c>
      <c r="C5" s="23">
        <f>'Revenue_Build'!C8</f>
        <v/>
      </c>
      <c r="D5" s="23">
        <f>'Revenue_Build'!D8</f>
        <v/>
      </c>
    </row>
    <row r="6">
      <c r="A6" s="16" t="inlineStr">
        <is>
          <t>Cash impact from working capital</t>
        </is>
      </c>
      <c r="B6" s="23">
        <f>'Working_Capital'!B7</f>
        <v/>
      </c>
      <c r="C6" s="23">
        <f>'Working_Capital'!C7</f>
        <v/>
      </c>
      <c r="D6" s="23">
        <f>'Working_Capital'!D7</f>
        <v/>
      </c>
    </row>
    <row r="7">
      <c r="A7" s="16" t="inlineStr">
        <is>
          <t>Interest expense</t>
        </is>
      </c>
      <c r="B7" s="23">
        <f>'Debt_Schedule'!B5</f>
        <v/>
      </c>
      <c r="C7" s="23">
        <f>'Debt_Schedule'!C5</f>
        <v/>
      </c>
      <c r="D7" s="23">
        <f>'Debt_Schedule'!D5</f>
        <v/>
      </c>
    </row>
    <row r="8">
      <c r="A8" s="16" t="inlineStr">
        <is>
          <t>Free cash flow before debt repayment</t>
        </is>
      </c>
      <c r="B8" s="23">
        <f>B5+B6-B7</f>
        <v/>
      </c>
      <c r="C8" s="23">
        <f>C5+C6-C7</f>
        <v/>
      </c>
      <c r="D8" s="23">
        <f>D5+D6-D7</f>
        <v/>
      </c>
    </row>
    <row r="9">
      <c r="A9" s="16" t="inlineStr">
        <is>
          <t>Debt service coverage</t>
        </is>
      </c>
      <c r="B9" s="24">
        <f>B8/'Debt_Schedule'!B6</f>
        <v/>
      </c>
      <c r="C9" s="24">
        <f>C8/'Debt_Schedule'!C6</f>
        <v/>
      </c>
      <c r="D9" s="24">
        <f>D8/'Debt_Schedule'!D6</f>
        <v/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  <col width="15" customWidth="1" min="4" max="4"/>
    <col width="45" customWidth="1" min="5" max="5"/>
  </cols>
  <sheetData>
    <row r="1" ht="26" customHeight="1">
      <c r="A1" s="14" t="inlineStr">
        <is>
          <t>Repair and Integrity Checks</t>
        </is>
      </c>
    </row>
    <row r="2">
      <c r="A2" s="15" t="n"/>
      <c r="B2" s="15" t="n"/>
      <c r="C2" s="15" t="n"/>
      <c r="D2" s="15" t="n"/>
      <c r="E2" s="15" t="n"/>
    </row>
    <row r="3">
      <c r="A3" s="10" t="inlineStr">
        <is>
          <t>Check</t>
        </is>
      </c>
      <c r="B3" s="10" t="inlineStr">
        <is>
          <t>Actual</t>
        </is>
      </c>
      <c r="C3" s="10" t="inlineStr">
        <is>
          <t>Expected</t>
        </is>
      </c>
      <c r="D3" s="10" t="inlineStr">
        <is>
          <t>Status</t>
        </is>
      </c>
      <c r="E3" s="10" t="inlineStr">
        <is>
          <t>Notes</t>
        </is>
      </c>
    </row>
    <row r="4">
      <c r="A4" s="16" t="inlineStr">
        <is>
          <t>Integrated output tie-out</t>
        </is>
      </c>
      <c r="B4" s="16">
        <f>'Summary'!D4-('Assumptions'!D4*'Assumptions'!D5)</f>
        <v/>
      </c>
      <c r="C4" s="16" t="n">
        <v>0</v>
      </c>
      <c r="D4" s="16">
        <f>IF(ABS(B4-C4)&lt;0.01,"PASS","CHECK")</f>
        <v/>
      </c>
      <c r="E4" s="16" t="inlineStr">
        <is>
          <t>Trace upstream forecast drivers</t>
        </is>
      </c>
    </row>
    <row r="5">
      <c r="A5" s="16" t="inlineStr">
        <is>
          <t>Working-capital cash impact</t>
        </is>
      </c>
      <c r="B5" s="16">
        <f>'Working_Capital'!D7+'Working_Capital'!D6</f>
        <v/>
      </c>
      <c r="C5" s="16" t="n">
        <v>0</v>
      </c>
      <c r="D5" s="16">
        <f>IF(ABS(B5)&lt;0.01,"PASS","CHECK")</f>
        <v/>
      </c>
      <c r="E5" s="16" t="inlineStr">
        <is>
          <t>Negative change in AR</t>
        </is>
      </c>
    </row>
    <row r="6">
      <c r="A6" s="16" t="inlineStr">
        <is>
          <t>Summary FCF bridge</t>
        </is>
      </c>
      <c r="B6" s="16">
        <f>'Summary'!D8-('Summary'!D5+'Summary'!D6-'Summary'!D7)</f>
        <v/>
      </c>
      <c r="C6" s="16" t="n">
        <v>0</v>
      </c>
      <c r="D6" s="16">
        <f>IF(ABS(B6)&lt;0.01,"PASS","CHECK")</f>
        <v/>
      </c>
      <c r="E6" s="16" t="inlineStr">
        <is>
          <t>Operating contribution + WC cash - interest</t>
        </is>
      </c>
    </row>
    <row r="7">
      <c r="A7" s="16" t="inlineStr">
        <is>
          <t>No source assumption edits</t>
        </is>
      </c>
      <c r="B7" s="16" t="n"/>
      <c r="C7" s="16" t="n"/>
      <c r="D7" s="16" t="n"/>
      <c r="E7" s="16" t="inlineStr">
        <is>
          <t>Assumptions are protected</t>
        </is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2026-09-04T02:56:43Z</dcterms:created>
  <dcterms:modified xmlns:dcterms="http://purl.org/dc/terms/" xmlns:xsi="http://www.w3.org/2001/XMLSchema-instance" xsi:type="dcterms:W3CDTF">2026-09-04T02:56:43Z</dcterms:modified>
</cp:coreProperties>
</file>