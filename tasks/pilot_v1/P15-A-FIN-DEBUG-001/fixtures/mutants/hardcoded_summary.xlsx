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0329bb043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52bf9c21a7464ee4"/>
    <x:sheet xmlns:r="http://schemas.openxmlformats.org/officeDocument/2006/relationships" name="Revenue_Build" sheetId="2" r:id="R17bf62608d5f414e"/>
    <x:sheet xmlns:r="http://schemas.openxmlformats.org/officeDocument/2006/relationships" name="Working_Capital" sheetId="3" r:id="R54bcf07cb62f4c62"/>
    <x:sheet xmlns:r="http://schemas.openxmlformats.org/officeDocument/2006/relationships" name="Debt_Schedule" sheetId="4" r:id="R2305528628c54fe6"/>
    <x:sheet xmlns:r="http://schemas.openxmlformats.org/officeDocument/2006/relationships" name="Summary" sheetId="5" r:id="Rd848dbc4d3bf4bc8"/>
    <x:sheet xmlns:r="http://schemas.openxmlformats.org/officeDocument/2006/relationships" name="Checks" sheetId="6" r:id="Raa5cae3cc2d0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e2cb1037b4399" /><Relationship Type="http://schemas.openxmlformats.org/officeDocument/2006/relationships/theme" Target="/xl/theme/theme1.xml" Id="Rccc9ecce1a4e4bd2" /><Relationship Type="http://schemas.openxmlformats.org/officeDocument/2006/relationships/sharedStrings" Target="/xl/sharedStrings.xml" Id="Re64e8b3936f34bd8" /><Relationship Type="http://schemas.openxmlformats.org/officeDocument/2006/relationships/worksheet" Target="/xl/worksheets/sheet1.xml" Id="R52bf9c21a7464ee4" /><Relationship Type="http://schemas.openxmlformats.org/officeDocument/2006/relationships/worksheet" Target="/xl/worksheets/sheet2.xml" Id="R17bf62608d5f414e" /><Relationship Type="http://schemas.openxmlformats.org/officeDocument/2006/relationships/worksheet" Target="/xl/worksheets/sheet3.xml" Id="R54bcf07cb62f4c62" /><Relationship Type="http://schemas.openxmlformats.org/officeDocument/2006/relationships/worksheet" Target="/xl/worksheets/sheet4.xml" Id="R2305528628c54fe6" /><Relationship Type="http://schemas.openxmlformats.org/officeDocument/2006/relationships/worksheet" Target="/xl/worksheets/sheet5.xml" Id="Rd848dbc4d3bf4bc8" /><Relationship Type="http://schemas.openxmlformats.org/officeDocument/2006/relationships/worksheet" Target="/xl/worksheets/sheet6.xml" Id="Raa5cae3cc2d042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Lakebridge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12000</x:v>
      </x:c>
      <x:c r="C4" s="16" t="n">
        <x:v>12900</x:v>
      </x:c>
      <x:c r="D4" s="16" t="n">
        <x:v>13700</x:v>
      </x:c>
    </x:row>
    <x:row r="5">
      <x:c r="A5" s="16" t="str">
        <x:v>Average selling price ($)</x:v>
      </x:c>
      <x:c r="B5" s="16" t="n">
        <x:v>48</x:v>
      </x:c>
      <x:c r="C5" s="16" t="n">
        <x:v>49</x:v>
      </x:c>
      <x:c r="D5" s="16" t="n">
        <x:v>50</x:v>
      </x:c>
    </x:row>
    <x:row r="6">
      <x:c r="A6" s="16" t="str">
        <x:v>Gross margin</x:v>
      </x:c>
      <x:c r="B6" s="17" t="n">
        <x:v>0.46</x:v>
      </x:c>
      <x:c r="C6" s="17" t="n">
        <x:v>0.465</x:v>
      </x:c>
      <x:c r="D6" s="17" t="n">
        <x:v>0.47</x:v>
      </x:c>
    </x:row>
    <x:row r="7">
      <x:c r="A7" s="16" t="str">
        <x:v>Operating expense ($)</x:v>
      </x:c>
      <x:c r="B7" s="16" t="n">
        <x:v>130000</x:v>
      </x:c>
      <x:c r="C7" s="16" t="n">
        <x:v>134000</x:v>
      </x:c>
      <x:c r="D7" s="16" t="n">
        <x:v>138000</x:v>
      </x:c>
    </x:row>
    <x:row r="8">
      <x:c r="A8" s="16" t="str">
        <x:v>DSO</x:v>
      </x:c>
      <x:c r="B8" s="16" t="n">
        <x:v>44</x:v>
      </x:c>
      <x:c r="C8" s="16" t="n">
        <x:v>44</x:v>
      </x:c>
      <x:c r="D8" s="16" t="n">
        <x:v>43</x:v>
      </x:c>
    </x:row>
    <x:row r="9">
      <x:c r="A9" s="16" t="str">
        <x:v>Interest rate</x:v>
      </x:c>
      <x:c r="B9" s="17" t="n">
        <x:v>0.065</x:v>
      </x:c>
      <x:c r="C9" s="17" t="n">
        <x:v>0.065</x:v>
      </x:c>
      <x:c r="D9" s="17" t="n">
        <x:v>0.065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12000</x:v>
      </x:c>
      <x:c r="C4" s="19" t="n">
        <x:f>'Assumptions'!C4</x:f>
        <x:v>12900</x:v>
      </x:c>
      <x:c r="D4" s="19" t="n">
        <x:f>'Assumptions'!D4</x:f>
        <x:v>13700</x:v>
      </x:c>
    </x:row>
    <x:row r="5">
      <x:c r="A5" s="16" t="str">
        <x:v>Average selling price</x:v>
      </x:c>
      <x:c r="B5" s="19" t="n">
        <x:f>'Assumptions'!B5</x:f>
        <x:v>48</x:v>
      </x:c>
      <x:c r="C5" s="19" t="n">
        <x:f>'Assumptions'!C5</x:f>
        <x:v>49</x:v>
      </x:c>
      <x:c r="D5" s="19" t="n">
        <x:f>'Assumptions'!D5</x:f>
        <x:v>50</x:v>
      </x:c>
    </x:row>
    <x:row r="6">
      <x:c r="A6" s="16" t="str">
        <x:v>Revenue</x:v>
      </x:c>
      <x:c r="B6" s="19" t="n">
        <x:f>B4*B5</x:f>
        <x:v>576000</x:v>
      </x:c>
      <x:c r="C6" s="19" t="n">
        <x:f>C4*C5</x:f>
        <x:v>632100</x:v>
      </x:c>
      <x:c r="D6" s="19" t="n">
        <x:f>D4*D5</x:f>
        <x:v>685000</x:v>
      </x:c>
    </x:row>
    <x:row r="7">
      <x:c r="A7" s="16" t="str">
        <x:v>Gross profit</x:v>
      </x:c>
      <x:c r="B7" s="19" t="n">
        <x:f>B6*'Assumptions'!B6</x:f>
        <x:v>264960</x:v>
      </x:c>
      <x:c r="C7" s="19" t="n">
        <x:f>C6*'Assumptions'!C6</x:f>
        <x:v>293926.5</x:v>
      </x:c>
      <x:c r="D7" s="19" t="n">
        <x:f>D6*'Assumptions'!D6</x:f>
        <x:v>321950</x:v>
      </x:c>
    </x:row>
    <x:row r="8">
      <x:c r="A8" s="16" t="str">
        <x:v>Operating contribution</x:v>
      </x:c>
      <x:c r="B8" s="19" t="n">
        <x:f>B7-'Assumptions'!B7</x:f>
        <x:v>134960</x:v>
      </x:c>
      <x:c r="C8" s="19" t="n">
        <x:f>C7-'Assumptions'!C7</x:f>
        <x:v>159926.5</x:v>
      </x:c>
      <x:c r="D8" s="19" t="n">
        <x:f>D7-'Assumptions'!D7</x:f>
        <x:v>183950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685000</x:v>
      </x:c>
    </x:row>
    <x:row r="5">
      <x:c r="A5" s="16" t="str">
        <x:v>Accounts receivable</x:v>
      </x:c>
      <x:c r="B5" s="19" t="n">
        <x:f>B4/365*'Assumptions'!B8</x:f>
        <x:v>69435.61643835616</x:v>
      </x:c>
      <x:c r="C5" s="19" t="n">
        <x:f>C4/365*'Assumptions'!C8</x:f>
        <x:v>76198.35616438356</x:v>
      </x:c>
      <x:c r="D5" s="19" t="n">
        <x:f>D4/365*'Assumptions'!D8</x:f>
        <x:v>80698.6301369863</x:v>
      </x:c>
    </x:row>
    <x:row r="6">
      <x:c r="A6" s="16" t="str">
        <x:v>Change in accounts receivable</x:v>
      </x:c>
      <x:c r="B6" s="19" t="n">
        <x:f>B5-58000</x:f>
        <x:v>11435.616438356155</x:v>
      </x:c>
      <x:c r="C6" s="19" t="n">
        <x:f>C5-B5</x:f>
        <x:v>6762.739726027401</x:v>
      </x:c>
      <x:c r="D6" s="19" t="n">
        <x:f>D5-C5</x:f>
        <x:v>4500.27397260275</x:v>
      </x:c>
    </x:row>
    <x:row r="7">
      <x:c r="A7" s="16" t="str">
        <x:v>Cash impact</x:v>
      </x:c>
      <x:c r="B7" s="19" t="n">
        <x:f>-B6</x:f>
        <x:v>-11435.616438356155</x:v>
      </x:c>
      <x:c r="C7" s="19" t="n">
        <x:f>-C6</x:f>
        <x:v>-6762.739726027401</x:v>
      </x:c>
      <x:c r="D7" s="19" t="n">
        <x:f>-D6</x:f>
        <x:v>-4500.27397260275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220000</x:v>
      </x:c>
      <x:c r="C4" s="19" t="n">
        <x:f>B7</x:f>
        <x:v>205000</x:v>
      </x:c>
      <x:c r="D4" s="19" t="n">
        <x:f>C7</x:f>
        <x:v>187000</x:v>
      </x:c>
    </x:row>
    <x:row r="5">
      <x:c r="A5" s="16" t="str">
        <x:v>Interest expense</x:v>
      </x:c>
      <x:c r="B5" s="19" t="n">
        <x:f>B4*'Assumptions'!B9</x:f>
        <x:v>14300</x:v>
      </x:c>
      <x:c r="C5" s="19" t="n">
        <x:f>C4*'Assumptions'!C9</x:f>
        <x:v>13325</x:v>
      </x:c>
      <x:c r="D5" s="19" t="n">
        <x:f>D4*'Assumptions'!D9</x:f>
        <x:v>12155</x:v>
      </x:c>
    </x:row>
    <x:row r="6">
      <x:c r="A6" s="16" t="str">
        <x:v>Principal repayment</x:v>
      </x:c>
      <x:c r="B6" s="19" t="n">
        <x:v>15000</x:v>
      </x:c>
      <x:c r="C6" s="19" t="n">
        <x:v>18000</x:v>
      </x:c>
      <x:c r="D6" s="19" t="n">
        <x:v>20000</x:v>
      </x:c>
    </x:row>
    <x:row r="7">
      <x:c r="A7" s="16" t="str">
        <x:v>Closing debt</x:v>
      </x:c>
      <x:c r="B7" s="19" t="n">
        <x:f>B4-B6</x:f>
        <x:v>205000</x:v>
      </x:c>
      <x:c r="C7" s="19" t="n">
        <x:f>C4-C6</x:f>
        <x:v>187000</x:v>
      </x:c>
      <x:c r="D7" s="19" t="n">
        <x:f>D4-D6</x:f>
        <x:v>167000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685000</x:v>
      </x:c>
    </x:row>
    <x:row r="5">
      <x:c r="A5" s="16" t="str">
        <x:v>Operating contribution</x:v>
      </x:c>
      <x:c r="B5" s="19" t="n">
        <x:f>'Revenue_Build'!B8</x:f>
        <x:v>134960</x:v>
      </x:c>
      <x:c r="C5" s="19" t="n">
        <x:f>'Revenue_Build'!C8</x:f>
        <x:v>159926.5</x:v>
      </x:c>
      <x:c r="D5" s="19" t="n">
        <x:f>'Revenue_Build'!D8</x:f>
        <x:v>183950</x:v>
      </x:c>
    </x:row>
    <x:row r="6">
      <x:c r="A6" s="16" t="str">
        <x:v>Cash impact from working capital</x:v>
      </x:c>
      <x:c r="B6" s="19" t="n">
        <x:f>'Working_Capital'!B7</x:f>
        <x:v>-11435.616438356155</x:v>
      </x:c>
      <x:c r="C6" s="19" t="n">
        <x:f>'Working_Capital'!C7</x:f>
        <x:v>-6762.739726027401</x:v>
      </x:c>
      <x:c r="D6" s="19" t="n">
        <x:f>'Working_Capital'!D7</x:f>
        <x:v>-4500.27397260275</x:v>
      </x:c>
    </x:row>
    <x:row r="7">
      <x:c r="A7" s="16" t="str">
        <x:v>Interest expense</x:v>
      </x:c>
      <x:c r="B7" s="19" t="n">
        <x:f>'Debt_Schedule'!B5</x:f>
        <x:v>14300</x:v>
      </x:c>
      <x:c r="C7" s="19" t="n">
        <x:f>'Debt_Schedule'!C5</x:f>
        <x:v>13325</x:v>
      </x:c>
      <x:c r="D7" s="19" t="n">
        <x:f>'Debt_Schedule'!D5</x:f>
        <x:v>12155</x:v>
      </x:c>
    </x:row>
    <x:row r="8">
      <x:c r="A8" s="16" t="str">
        <x:v>Free cash flow before debt repayment</x:v>
      </x:c>
      <x:c r="B8" s="19" t="n">
        <x:f>B5+B6-B7</x:f>
        <x:v>109224.38356164384</x:v>
      </x:c>
      <x:c r="C8" s="19" t="n">
        <x:f>C5+C6-C7</x:f>
        <x:v>139838.76027397258</x:v>
      </x:c>
      <x:c r="D8" s="19" t="n">
        <x:v>12345</x:v>
      </x:c>
    </x:row>
    <x:row r="9">
      <x:c r="A9" s="16" t="str">
        <x:v>Debt service coverage</x:v>
      </x:c>
      <x:c r="B9" s="21" t="n">
        <x:f>B8/'Debt_Schedule'!B6</x:f>
        <x:v>7.2816255707762565</x:v>
      </x:c>
      <x:c r="C9" s="21" t="n">
        <x:f>C8/'Debt_Schedule'!C6</x:f>
        <x:v>7.768820015220699</x:v>
      </x:c>
      <x:c r="D9" s="21" t="n">
        <x:f>D8/'Debt_Schedule'!D6</x:f>
        <x:v>0.61725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0</x:v>
      </x:c>
      <x:c r="C4" s="16" t="n">
        <x:v>0</x:v>
      </x:c>
      <x:c r="D4" s="16" t="str">
        <x:f>IF(ABS(B4-C4)&lt;0.01,"PASS","CHECK")</x:f>
        <x:v>PASS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-154949.72602739726</x:v>
      </x:c>
      <x:c r="C6" s="16" t="n">
        <x:v>0</x:v>
      </x:c>
      <x:c r="D6" s="16" t="str">
        <x:f>IF(ABS(B6)&lt;0.01,"PASS","CHECK")</x:f>
        <x:v>CHECK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