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0603e2979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eac82292bfa5484e"/>
    <x:sheet xmlns:r="http://schemas.openxmlformats.org/officeDocument/2006/relationships" name="Revenue_Build" sheetId="2" r:id="Re9a686815fb541ac"/>
    <x:sheet xmlns:r="http://schemas.openxmlformats.org/officeDocument/2006/relationships" name="Working_Capital" sheetId="3" r:id="R9273f93934af45af"/>
    <x:sheet xmlns:r="http://schemas.openxmlformats.org/officeDocument/2006/relationships" name="Debt_Schedule" sheetId="4" r:id="R3b4f2df0735d4d1d"/>
    <x:sheet xmlns:r="http://schemas.openxmlformats.org/officeDocument/2006/relationships" name="Summary" sheetId="5" r:id="Rd2f810fa06294c76"/>
    <x:sheet xmlns:r="http://schemas.openxmlformats.org/officeDocument/2006/relationships" name="Checks" sheetId="6" r:id="R2ef179757583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7ee7401d24013" /><Relationship Type="http://schemas.openxmlformats.org/officeDocument/2006/relationships/theme" Target="/xl/theme/theme1.xml" Id="R9ef44485eed042c5" /><Relationship Type="http://schemas.openxmlformats.org/officeDocument/2006/relationships/sharedStrings" Target="/xl/sharedStrings.xml" Id="Rcd0720b1fdb04629" /><Relationship Type="http://schemas.openxmlformats.org/officeDocument/2006/relationships/worksheet" Target="/xl/worksheets/sheet1.xml" Id="Reac82292bfa5484e" /><Relationship Type="http://schemas.openxmlformats.org/officeDocument/2006/relationships/worksheet" Target="/xl/worksheets/sheet2.xml" Id="Re9a686815fb541ac" /><Relationship Type="http://schemas.openxmlformats.org/officeDocument/2006/relationships/worksheet" Target="/xl/worksheets/sheet3.xml" Id="R9273f93934af45af" /><Relationship Type="http://schemas.openxmlformats.org/officeDocument/2006/relationships/worksheet" Target="/xl/worksheets/sheet4.xml" Id="R3b4f2df0735d4d1d" /><Relationship Type="http://schemas.openxmlformats.org/officeDocument/2006/relationships/worksheet" Target="/xl/worksheets/sheet5.xml" Id="Rd2f810fa06294c76" /><Relationship Type="http://schemas.openxmlformats.org/officeDocument/2006/relationships/worksheet" Target="/xl/worksheets/sheet6.xml" Id="R2ef179757583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12900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12900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632100</x:v>
      </x:c>
      <x:c r="D6" s="19" t="n">
        <x:f>C4*D5</x:f>
        <x:v>645000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293926.5</x:v>
      </x:c>
      <x:c r="D7" s="19" t="n">
        <x:f>D6*'Assumptions'!D6</x:f>
        <x:v>303150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159926.5</x:v>
      </x:c>
      <x:c r="D8" s="19" t="n">
        <x:f>D7-'Assumptions'!D7</x:f>
        <x:v>165150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645000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76198.35616438356</x:v>
      </x:c>
      <x:c r="D5" s="19" t="n">
        <x:f>D4/365*'Assumptions'!D8</x:f>
        <x:v>75986.30136986301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6762.739726027401</x:v>
      </x:c>
      <x:c r="D6" s="19" t="n">
        <x:f>D5-C5</x:f>
        <x:v>-212.05479452054715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-6762.739726027401</x:v>
      </x:c>
      <x:c r="D7" s="19" t="n">
        <x:f>-D6</x:f>
        <x:v>212.05479452054715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645000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159926.5</x:v>
      </x:c>
      <x:c r="D5" s="19" t="n">
        <x:f>'Revenue_Build'!D8</x:f>
        <x:v>165150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-6762.739726027401</x:v>
      </x:c>
      <x:c r="D6" s="19" t="n">
        <x:f>'Working_Capital'!D7</x:f>
        <x:v>212.05479452054715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139838.76027397258</x:v>
      </x:c>
      <x:c r="D8" s="19" t="n">
        <x:f>D5+D6-D7</x:f>
        <x:v>153207.05479452055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7.768820015220699</x:v>
      </x:c>
      <x:c r="D9" s="21" t="n">
        <x:f>D8/'Debt_Schedule'!D6</x:f>
        <x:v>7.660352739726028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-40000</x:v>
      </x:c>
      <x:c r="C4" s="16" t="n">
        <x:v>0</x:v>
      </x:c>
      <x:c r="D4" s="16" t="str">
        <x:f>IF(ABS(B4-C4)&lt;0.01,"PASS","CHECK")</x:f>
        <x:v>CHECK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