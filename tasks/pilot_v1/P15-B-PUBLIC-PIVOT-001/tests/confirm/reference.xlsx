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var/folders/q4/cs4nrv353sz1v8m142lf0b700000gn/T/"/>
    </mc:Choice>
  </mc:AlternateContent>
  <xr:revisionPtr revIDLastSave="0" documentId="8_{4C535D4C-5B79-3841-8BB7-475E0BCCBBCA}" xr6:coauthVersionLast="47" xr6:coauthVersionMax="47" xr10:uidLastSave="{00000000-0000-0000-0000-000000000000}"/>
  <bookViews>
    <workbookView xWindow="0" yWindow="640" windowWidth="30240" windowHeight="17940" xr2:uid="{00000000-000D-0000-FFFF-FFFF00000000}"/>
  </bookViews>
  <sheets>
    <sheet name="Pivot_Report" sheetId="1" r:id="rId1"/>
    <sheet name="Program_Data" sheetId="2" r:id="rId2"/>
    <sheet name="Pivot_Specification" sheetId="3" r:id="rId3"/>
    <sheet name="KPI_Summary" sheetId="4" r:id="rId4"/>
    <sheet name="Pivot_Chart_Requirement" sheetId="5" r:id="rId5"/>
    <sheet name="Checks" sheetId="6" r:id="rId6"/>
  </sheets>
  <calcPr calcId="191029"/>
  <pivotCaches>
    <pivotCache cacheId="12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4" l="1"/>
  <c r="B5" i="4"/>
  <c r="B4" i="4"/>
</calcChain>
</file>

<file path=xl/sharedStrings.xml><?xml version="1.0" encoding="utf-8"?>
<sst xmlns="http://schemas.openxmlformats.org/spreadsheetml/2006/main" count="142" uniqueCount="85">
  <si>
    <t>Quarter</t>
  </si>
  <si>
    <t>2024Q2</t>
  </si>
  <si>
    <t>Column Labels</t>
  </si>
  <si>
    <t>Total Sum of Participants</t>
  </si>
  <si>
    <t>Total Sum of Spend</t>
  </si>
  <si>
    <t>Row Labels</t>
  </si>
  <si>
    <t>Sum of Participants</t>
  </si>
  <si>
    <t>Sum of Spend</t>
  </si>
  <si>
    <t>Grand Total</t>
  </si>
  <si>
    <t>Program Event Detail — Confirm Instance</t>
  </si>
  <si>
    <t>Source records for the held-out Q2 program-delivery PivotTable. Keep every event row intact.</t>
  </si>
  <si>
    <t>Event ID</t>
  </si>
  <si>
    <t>Region</t>
  </si>
  <si>
    <t>Program</t>
  </si>
  <si>
    <t>Participants</t>
  </si>
  <si>
    <t>Spend</t>
  </si>
  <si>
    <t>HX-01</t>
  </si>
  <si>
    <t>East</t>
  </si>
  <si>
    <t>Vaccination</t>
  </si>
  <si>
    <t>2024Q1</t>
  </si>
  <si>
    <t>HX-02</t>
  </si>
  <si>
    <t>HX-03</t>
  </si>
  <si>
    <t>West</t>
  </si>
  <si>
    <t>HX-04</t>
  </si>
  <si>
    <t>HX-05</t>
  </si>
  <si>
    <t>Nutrition</t>
  </si>
  <si>
    <t>HX-06</t>
  </si>
  <si>
    <t>HX-07</t>
  </si>
  <si>
    <t>HX-08</t>
  </si>
  <si>
    <t>Q2 Program Delivery Pivot Specification — Confirm Instance</t>
  </si>
  <si>
    <t>Build a native, refreshable Excel PivotTable and PivotChart from Program_Data.</t>
  </si>
  <si>
    <t>Requirement</t>
  </si>
  <si>
    <t>Requested setting</t>
  </si>
  <si>
    <t>Delivery status</t>
  </si>
  <si>
    <t>Reviewer note</t>
  </si>
  <si>
    <t>Source</t>
  </si>
  <si>
    <t>Program_Data event records</t>
  </si>
  <si>
    <t>To complete</t>
  </si>
  <si>
    <t>Use the full event dataset</t>
  </si>
  <si>
    <t>Rows</t>
  </si>
  <si>
    <t>One row field</t>
  </si>
  <si>
    <t>Columns</t>
  </si>
  <si>
    <t>One column field</t>
  </si>
  <si>
    <t>Filter</t>
  </si>
  <si>
    <t>Quarter = 2024Q2</t>
  </si>
  <si>
    <t>Show the selected quarter</t>
  </si>
  <si>
    <t>Measure</t>
  </si>
  <si>
    <t>Native sum aggregation</t>
  </si>
  <si>
    <t>Refresh</t>
  </si>
  <si>
    <t>Refresh when opened</t>
  </si>
  <si>
    <t>Keep the source connection refreshable</t>
  </si>
  <si>
    <t>Chart</t>
  </si>
  <si>
    <t>Clustered-column PivotChart</t>
  </si>
  <si>
    <t>Base the chart on the PivotTable</t>
  </si>
  <si>
    <t>Q2 Program Delivery KPIs — Confirm Instance</t>
  </si>
  <si>
    <t>Link each value to the completed native PivotTable so it remains refreshable.</t>
  </si>
  <si>
    <t>KPI</t>
  </si>
  <si>
    <t>Value</t>
  </si>
  <si>
    <t>2024Q2 participants</t>
  </si>
  <si>
    <t>Native PivotTable</t>
  </si>
  <si>
    <t>2024Q2 spend</t>
  </si>
  <si>
    <t>East Vaccination participants</t>
  </si>
  <si>
    <t>Q2 Review Chart — Confirm Instance</t>
  </si>
  <si>
    <t>Place a clustered-column PivotChart here after creating the native PivotTable.</t>
  </si>
  <si>
    <t>Chart type</t>
  </si>
  <si>
    <t>Clustered column</t>
  </si>
  <si>
    <t>Use a PivotChart</t>
  </si>
  <si>
    <t>Purpose</t>
  </si>
  <si>
    <t>Q2 participants and spend review</t>
  </si>
  <si>
    <t>Keep the chart bound to the PivotTable</t>
  </si>
  <si>
    <t>Delivery Review Checklist — Confirm Instance</t>
  </si>
  <si>
    <t>Use this sheet to record the workbook's final native-object checks before handoff.</t>
  </si>
  <si>
    <t>Check</t>
  </si>
  <si>
    <t>Requested outcome</t>
  </si>
  <si>
    <t>Status</t>
  </si>
  <si>
    <t>Source records</t>
  </si>
  <si>
    <t>All eight event rows retained</t>
  </si>
  <si>
    <t>Pivot layout</t>
  </si>
  <si>
    <t>Region by Program</t>
  </si>
  <si>
    <t>Quarter filter</t>
  </si>
  <si>
    <t>2024Q2 selected</t>
  </si>
  <si>
    <t>Measures</t>
  </si>
  <si>
    <t>Participants and Spend use Sum</t>
  </si>
  <si>
    <t>PivotChart</t>
  </si>
  <si>
    <t>Clustered column and Pivot-linked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</si>
</sst>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4">
    <font>
      <sz val="11"/>
      <name val="Carlito"/>
    </font>
    <font>
      <b/>
      <sz val="15"/>
      <color rgb="FFFFFFFF"/>
      <name val="Carlito"/>
    </font>
    <font>
      <i/>
      <sz val="9"/>
      <color rgb="FF1F2937"/>
      <name val="Carlito"/>
    </font>
    <font>
      <b/>
      <sz val="11"/>
      <color rgb="FF1F2937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164" fontId="0" fillId="0" borderId="0" xfId="0" applyNumberFormat="1"/>
    <xf numFmtId="0" fontId="2" fillId="3" borderId="0" xfId="0" applyFont="1" applyFill="1" applyAlignment="1">
      <alignment vertical="center" wrapText="1"/>
    </xf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[p15-native-confirm-867ceab2ada2484e89dd8d804be2b7f9.staging.xlsx]Pivot_Report!ProgramDeliveryPivot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Program Delivery by Region and Program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Pivot_Report!$B$3:$B$5</c:f>
              <c:strCache>
                <c:ptCount val="1"/>
                <c:pt idx="0">
                  <c:v>Vaccination - Sum of Participants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Pivot_Report!$A$6:$A$8</c:f>
              <c:strCache>
                <c:ptCount val="2"/>
                <c:pt idx="0">
                  <c:v>East</c:v>
                </c:pt>
                <c:pt idx="1">
                  <c:v>West</c:v>
                </c:pt>
              </c:strCache>
            </c:strRef>
          </c:cat>
          <c:val>
            <c:numRef>
              <c:f>Pivot_Report!$B$6:$B$8</c:f>
              <c:numCache>
                <c:formatCode>0</c:formatCode>
                <c:ptCount val="2"/>
                <c:pt idx="0">
                  <c:v>38</c:v>
                </c:pt>
                <c:pt idx="1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7D-1C4D-BE11-5E002B48C93C}"/>
            </c:ext>
          </c:extLst>
        </c:ser>
        <c:ser>
          <c:idx val="1"/>
          <c:order val="1"/>
          <c:tx>
            <c:strRef>
              <c:f>Pivot_Report!$C$3:$C$5</c:f>
              <c:strCache>
                <c:ptCount val="1"/>
                <c:pt idx="0">
                  <c:v>Vaccination - Sum of Spend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Pivot_Report!$A$6:$A$8</c:f>
              <c:strCache>
                <c:ptCount val="2"/>
                <c:pt idx="0">
                  <c:v>East</c:v>
                </c:pt>
                <c:pt idx="1">
                  <c:v>West</c:v>
                </c:pt>
              </c:strCache>
            </c:strRef>
          </c:cat>
          <c:val>
            <c:numRef>
              <c:f>Pivot_Report!$C$6:$C$8</c:f>
              <c:numCache>
                <c:formatCode>\$#,##0</c:formatCode>
                <c:ptCount val="2"/>
                <c:pt idx="0">
                  <c:v>114000</c:v>
                </c:pt>
                <c:pt idx="1">
                  <c:v>102000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7D-1C4D-BE11-5E002B48C93C}"/>
            </c:ext>
          </c:extLst>
        </c:ser>
        <c:ser>
          <c:idx val="2"/>
          <c:order val="2"/>
          <c:tx>
            <c:strRef>
              <c:f>Pivot_Report!$D$3:$D$5</c:f>
              <c:strCache>
                <c:ptCount val="1"/>
                <c:pt idx="0">
                  <c:v>Nutrition - Sum of Participants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Pivot_Report!$A$6:$A$8</c:f>
              <c:strCache>
                <c:ptCount val="2"/>
                <c:pt idx="0">
                  <c:v>East</c:v>
                </c:pt>
                <c:pt idx="1">
                  <c:v>West</c:v>
                </c:pt>
              </c:strCache>
            </c:strRef>
          </c:cat>
          <c:val>
            <c:numRef>
              <c:f>Pivot_Report!$D$6:$D$8</c:f>
              <c:numCache>
                <c:formatCode>0</c:formatCode>
                <c:ptCount val="2"/>
                <c:pt idx="0">
                  <c:v>27</c:v>
                </c:pt>
                <c:pt idx="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7D-1C4D-BE11-5E002B48C93C}"/>
            </c:ext>
          </c:extLst>
        </c:ser>
        <c:ser>
          <c:idx val="3"/>
          <c:order val="3"/>
          <c:tx>
            <c:strRef>
              <c:f>Pivot_Report!$E$3:$E$5</c:f>
              <c:strCache>
                <c:ptCount val="1"/>
                <c:pt idx="0">
                  <c:v>Nutrition - Sum of Spend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Pivot_Report!$A$6:$A$8</c:f>
              <c:strCache>
                <c:ptCount val="2"/>
                <c:pt idx="0">
                  <c:v>East</c:v>
                </c:pt>
                <c:pt idx="1">
                  <c:v>West</c:v>
                </c:pt>
              </c:strCache>
            </c:strRef>
          </c:cat>
          <c:val>
            <c:numRef>
              <c:f>Pivot_Report!$E$6:$E$8</c:f>
              <c:numCache>
                <c:formatCode>\$#,##0</c:formatCode>
                <c:ptCount val="2"/>
                <c:pt idx="0">
                  <c:v>67500</c:v>
                </c:pt>
                <c:pt idx="1">
                  <c:v>57500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7D-1C4D-BE11-5E002B48C9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1732672"/>
        <c:axId val="1756490688"/>
      </c:barChart>
      <c:catAx>
        <c:axId val="1731732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56490688"/>
        <c:crosses val="autoZero"/>
        <c:auto val="1"/>
        <c:lblAlgn val="ctr"/>
        <c:lblOffset val="100"/>
        <c:noMultiLvlLbl val="0"/>
      </c:catAx>
      <c:valAx>
        <c:axId val="175649068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7317326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101600</xdr:colOff>
      <xdr:row>1</xdr:row>
      <xdr:rowOff>76200</xdr:rowOff>
    </xdr:from>
    <xdr:to>
      <xdr:col>10</xdr:col>
      <xdr:colOff>723900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刘振鹏" refreshedDate="46265.548598032408" createdVersion="8" refreshedVersion="8" minRefreshableVersion="3" recordCount="8" xr:uid="{00000000-000A-0000-FFFF-FFFF29000000}">
  <cacheSource type="worksheet">
    <worksheetSource name="ProgramEventsTable"/>
  </cacheSource>
  <cacheFields count="6">
    <cacheField name="Event ID" numFmtId="0">
      <sharedItems/>
    </cacheField>
    <cacheField name="Region" numFmtId="0">
      <sharedItems count="4">
        <s v="East"/>
        <s v="West"/>
        <s v="North" u="1"/>
        <s v="South" u="1"/>
      </sharedItems>
    </cacheField>
    <cacheField name="Program" numFmtId="0">
      <sharedItems count="4">
        <s v="Vaccination"/>
        <s v="Nutrition"/>
        <s v="Outreach" u="1"/>
        <s v="Training" u="1"/>
      </sharedItems>
    </cacheField>
    <cacheField name="Quarter" numFmtId="0">
      <sharedItems count="2">
        <s v="2024Q1"/>
        <s v="2024Q2"/>
      </sharedItems>
    </cacheField>
    <cacheField name="Participants" numFmtId="1">
      <sharedItems containsSemiMixedTypes="0" containsString="0" containsNumber="1" containsInteger="1" minValue="17" maxValue="38"/>
    </cacheField>
    <cacheField name="Spend" numFmtId="164">
      <sharedItems containsSemiMixedTypes="0" containsString="0" containsNumber="1" containsInteger="1" minValue="42500" maxValue="114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HX-01"/>
    <x v="0"/>
    <x v="0"/>
    <x v="0"/>
    <n v="30"/>
    <n v="90000"/>
  </r>
  <r>
    <s v="HX-02"/>
    <x v="0"/>
    <x v="0"/>
    <x v="1"/>
    <n v="38"/>
    <n v="114000"/>
  </r>
  <r>
    <s v="HX-03"/>
    <x v="1"/>
    <x v="0"/>
    <x v="0"/>
    <n v="26"/>
    <n v="78000"/>
  </r>
  <r>
    <s v="HX-04"/>
    <x v="1"/>
    <x v="0"/>
    <x v="1"/>
    <n v="34"/>
    <n v="102000"/>
  </r>
  <r>
    <s v="HX-05"/>
    <x v="0"/>
    <x v="1"/>
    <x v="0"/>
    <n v="20"/>
    <n v="50000"/>
  </r>
  <r>
    <s v="HX-06"/>
    <x v="0"/>
    <x v="1"/>
    <x v="1"/>
    <n v="27"/>
    <n v="67500"/>
  </r>
  <r>
    <s v="HX-07"/>
    <x v="1"/>
    <x v="1"/>
    <x v="0"/>
    <n v="17"/>
    <n v="42500"/>
  </r>
  <r>
    <s v="HX-08"/>
    <x v="1"/>
    <x v="1"/>
    <x v="1"/>
    <n v="23"/>
    <n v="57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rogramDeliveryPivot" cacheId="1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G8" firstHeaderRow="1" firstDataRow="3" firstDataCol="1" rowPageCount="1" colPageCount="1"/>
  <pivotFields count="6">
    <pivotField showAll="0"/>
    <pivotField axis="axisRow" showAll="0">
      <items count="5">
        <item m="1" x="2"/>
        <item m="1" x="3"/>
        <item x="0"/>
        <item x="1"/>
        <item t="default"/>
      </items>
    </pivotField>
    <pivotField axis="axisCol" showAll="0">
      <items count="5">
        <item m="1" x="2"/>
        <item m="1" x="3"/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dataField="1" numFmtId="1" showAll="0"/>
    <pivotField dataField="1" numFmtId="164" showAll="0"/>
  </pivotFields>
  <rowFields count="1">
    <field x="1"/>
  </rowFields>
  <rowItems count="3">
    <i>
      <x v="2"/>
    </i>
    <i>
      <x v="3"/>
    </i>
    <i t="grand">
      <x/>
    </i>
  </rowItems>
  <colFields count="2">
    <field x="2"/>
    <field x="-2"/>
  </colFields>
  <colItems count="6"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pageFields count="1">
    <pageField fld="3" item="1" hier="-1"/>
  </pageFields>
  <dataFields count="2">
    <dataField name="Sum of Participants" fld="4" baseField="0" baseItem="0" numFmtId="1"/>
    <dataField name="Sum of Spend" fld="5" baseField="0" baseItem="0" numFmtId="164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gramEventsTable" displayName="ProgramEventsTable" ref="A3:F11">
  <autoFilter ref="A3:F11" xr:uid="{00000000-0009-0000-0100-000001000000}"/>
  <tableColumns count="6">
    <tableColumn id="1" xr3:uid="{00000000-0010-0000-0000-000001000000}" name="Event ID"/>
    <tableColumn id="2" xr3:uid="{00000000-0010-0000-0000-000002000000}" name="Region"/>
    <tableColumn id="3" xr3:uid="{00000000-0010-0000-0000-000003000000}" name="Program"/>
    <tableColumn id="4" xr3:uid="{00000000-0010-0000-0000-000004000000}" name="Quarter"/>
    <tableColumn id="5" xr3:uid="{00000000-0010-0000-0000-000005000000}" name="Participants"/>
    <tableColumn id="6" xr3:uid="{00000000-0010-0000-0000-000006000000}" name="Spe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sqref="A1:G8"/>
    </sheetView>
  </sheetViews>
  <sheetFormatPr baseColWidth="10" defaultRowHeight="14"/>
  <cols>
    <col min="1" max="1" width="14" bestFit="1" customWidth="1"/>
    <col min="2" max="2" width="18.6640625" bestFit="1" customWidth="1"/>
    <col min="3" max="3" width="13.6640625" bestFit="1" customWidth="1"/>
    <col min="4" max="4" width="18.6640625" bestFit="1" customWidth="1"/>
    <col min="5" max="5" width="13.6640625" bestFit="1" customWidth="1"/>
    <col min="6" max="6" width="23.83203125" bestFit="1" customWidth="1"/>
    <col min="7" max="7" width="18.83203125" bestFit="1" customWidth="1"/>
  </cols>
  <sheetData>
    <row r="1" spans="1:7">
      <c r="A1" s="5" t="s">
        <v>0</v>
      </c>
      <c r="B1" t="s">
        <v>1</v>
      </c>
    </row>
    <row r="3" spans="1:7">
      <c r="B3" s="5" t="s">
        <v>2</v>
      </c>
    </row>
    <row r="4" spans="1:7">
      <c r="B4" t="s">
        <v>18</v>
      </c>
      <c r="D4" t="s">
        <v>25</v>
      </c>
      <c r="F4" t="s">
        <v>3</v>
      </c>
      <c r="G4" t="s">
        <v>4</v>
      </c>
    </row>
    <row r="5" spans="1:7">
      <c r="A5" s="5" t="s">
        <v>5</v>
      </c>
      <c r="B5" t="s">
        <v>6</v>
      </c>
      <c r="C5" t="s">
        <v>7</v>
      </c>
      <c r="D5" t="s">
        <v>6</v>
      </c>
      <c r="E5" t="s">
        <v>7</v>
      </c>
    </row>
    <row r="6" spans="1:7">
      <c r="A6" s="6" t="s">
        <v>17</v>
      </c>
      <c r="B6" s="7">
        <v>38</v>
      </c>
      <c r="C6" s="8">
        <v>114000</v>
      </c>
      <c r="D6" s="7">
        <v>27</v>
      </c>
      <c r="E6" s="8">
        <v>67500</v>
      </c>
      <c r="F6" s="7">
        <v>65</v>
      </c>
      <c r="G6" s="8">
        <v>181500</v>
      </c>
    </row>
    <row r="7" spans="1:7">
      <c r="A7" s="6" t="s">
        <v>22</v>
      </c>
      <c r="B7" s="7">
        <v>34</v>
      </c>
      <c r="C7" s="8">
        <v>102000</v>
      </c>
      <c r="D7" s="7">
        <v>23</v>
      </c>
      <c r="E7" s="8">
        <v>57500</v>
      </c>
      <c r="F7" s="7">
        <v>57</v>
      </c>
      <c r="G7" s="8">
        <v>159500</v>
      </c>
    </row>
    <row r="8" spans="1:7">
      <c r="A8" s="6" t="s">
        <v>8</v>
      </c>
      <c r="B8" s="7">
        <v>72</v>
      </c>
      <c r="C8" s="8">
        <v>216000</v>
      </c>
      <c r="D8" s="7">
        <v>50</v>
      </c>
      <c r="E8" s="8">
        <v>125000</v>
      </c>
      <c r="F8" s="7">
        <v>122</v>
      </c>
      <c r="G8" s="8">
        <v>341000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showGridLines="0" workbookViewId="0">
      <selection activeCell="A3" sqref="A3:F11"/>
    </sheetView>
  </sheetViews>
  <sheetFormatPr baseColWidth="10" defaultColWidth="8.83203125" defaultRowHeight="14"/>
  <cols>
    <col min="1" max="1" width="14" customWidth="1"/>
    <col min="2" max="2" width="18" customWidth="1"/>
    <col min="3" max="3" width="20" customWidth="1"/>
    <col min="4" max="6" width="18" customWidth="1"/>
  </cols>
  <sheetData>
    <row r="1" spans="1:6" ht="28" customHeight="1">
      <c r="A1" s="11" t="s">
        <v>9</v>
      </c>
      <c r="B1" s="10"/>
      <c r="C1" s="10"/>
      <c r="D1" s="10"/>
      <c r="E1" s="10"/>
      <c r="F1" s="10"/>
    </row>
    <row r="2" spans="1:6" ht="26" customHeight="1">
      <c r="A2" s="9" t="s">
        <v>10</v>
      </c>
      <c r="B2" s="10"/>
      <c r="C2" s="10"/>
      <c r="D2" s="10"/>
      <c r="E2" s="10"/>
      <c r="F2" s="10"/>
    </row>
    <row r="3" spans="1:6" ht="16" customHeight="1">
      <c r="A3" s="2" t="s">
        <v>11</v>
      </c>
      <c r="B3" s="2" t="s">
        <v>12</v>
      </c>
      <c r="C3" s="2" t="s">
        <v>13</v>
      </c>
      <c r="D3" s="2" t="s">
        <v>0</v>
      </c>
      <c r="E3" s="2" t="s">
        <v>14</v>
      </c>
      <c r="F3" s="2" t="s">
        <v>15</v>
      </c>
    </row>
    <row r="4" spans="1:6">
      <c r="A4" s="1" t="s">
        <v>16</v>
      </c>
      <c r="B4" s="1" t="s">
        <v>17</v>
      </c>
      <c r="C4" s="1" t="s">
        <v>18</v>
      </c>
      <c r="D4" s="1" t="s">
        <v>19</v>
      </c>
      <c r="E4" s="3">
        <v>30</v>
      </c>
      <c r="F4" s="4">
        <v>90000</v>
      </c>
    </row>
    <row r="5" spans="1:6">
      <c r="A5" s="1" t="s">
        <v>20</v>
      </c>
      <c r="B5" s="1" t="s">
        <v>17</v>
      </c>
      <c r="C5" s="1" t="s">
        <v>18</v>
      </c>
      <c r="D5" s="1" t="s">
        <v>1</v>
      </c>
      <c r="E5" s="3">
        <v>38</v>
      </c>
      <c r="F5" s="4">
        <v>114000</v>
      </c>
    </row>
    <row r="6" spans="1:6">
      <c r="A6" s="1" t="s">
        <v>21</v>
      </c>
      <c r="B6" s="1" t="s">
        <v>22</v>
      </c>
      <c r="C6" s="1" t="s">
        <v>18</v>
      </c>
      <c r="D6" s="1" t="s">
        <v>19</v>
      </c>
      <c r="E6" s="3">
        <v>26</v>
      </c>
      <c r="F6" s="4">
        <v>78000</v>
      </c>
    </row>
    <row r="7" spans="1:6">
      <c r="A7" s="1" t="s">
        <v>23</v>
      </c>
      <c r="B7" s="1" t="s">
        <v>22</v>
      </c>
      <c r="C7" s="1" t="s">
        <v>18</v>
      </c>
      <c r="D7" s="1" t="s">
        <v>1</v>
      </c>
      <c r="E7" s="3">
        <v>34</v>
      </c>
      <c r="F7" s="4">
        <v>102000</v>
      </c>
    </row>
    <row r="8" spans="1:6">
      <c r="A8" s="1" t="s">
        <v>24</v>
      </c>
      <c r="B8" s="1" t="s">
        <v>17</v>
      </c>
      <c r="C8" s="1" t="s">
        <v>25</v>
      </c>
      <c r="D8" s="1" t="s">
        <v>19</v>
      </c>
      <c r="E8" s="3">
        <v>20</v>
      </c>
      <c r="F8" s="4">
        <v>50000</v>
      </c>
    </row>
    <row r="9" spans="1:6">
      <c r="A9" s="1" t="s">
        <v>26</v>
      </c>
      <c r="B9" s="1" t="s">
        <v>17</v>
      </c>
      <c r="C9" s="1" t="s">
        <v>25</v>
      </c>
      <c r="D9" s="1" t="s">
        <v>1</v>
      </c>
      <c r="E9" s="3">
        <v>27</v>
      </c>
      <c r="F9" s="4">
        <v>67500</v>
      </c>
    </row>
    <row r="10" spans="1:6">
      <c r="A10" s="1" t="s">
        <v>27</v>
      </c>
      <c r="B10" s="1" t="s">
        <v>22</v>
      </c>
      <c r="C10" s="1" t="s">
        <v>25</v>
      </c>
      <c r="D10" s="1" t="s">
        <v>19</v>
      </c>
      <c r="E10" s="3">
        <v>17</v>
      </c>
      <c r="F10" s="4">
        <v>42500</v>
      </c>
    </row>
    <row r="11" spans="1:6">
      <c r="A11" s="1" t="s">
        <v>28</v>
      </c>
      <c r="B11" s="1" t="s">
        <v>22</v>
      </c>
      <c r="C11" s="1" t="s">
        <v>25</v>
      </c>
      <c r="D11" s="1" t="s">
        <v>1</v>
      </c>
      <c r="E11" s="3">
        <v>23</v>
      </c>
      <c r="F11" s="4">
        <v>57500</v>
      </c>
    </row>
  </sheetData>
  <mergeCells count="2">
    <mergeCell ref="A2:F2"/>
    <mergeCell ref="A1:F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showGridLines="0" workbookViewId="0"/>
  </sheetViews>
  <sheetFormatPr baseColWidth="10" defaultColWidth="8.83203125" defaultRowHeight="14"/>
  <cols>
    <col min="1" max="1" width="24" customWidth="1"/>
    <col min="2" max="2" width="30" customWidth="1"/>
    <col min="3" max="3" width="24" customWidth="1"/>
    <col min="4" max="4" width="38" customWidth="1"/>
  </cols>
  <sheetData>
    <row r="1" spans="1:4" ht="28" customHeight="1">
      <c r="A1" s="11" t="s">
        <v>29</v>
      </c>
      <c r="B1" s="10"/>
      <c r="C1" s="10"/>
      <c r="D1" s="10"/>
    </row>
    <row r="2" spans="1:4" ht="26" customHeight="1">
      <c r="A2" s="9" t="s">
        <v>30</v>
      </c>
      <c r="B2" s="10"/>
      <c r="C2" s="10"/>
      <c r="D2" s="10"/>
    </row>
    <row r="4" spans="1:4" ht="16" customHeight="1">
      <c r="A4" s="2" t="s">
        <v>31</v>
      </c>
      <c r="B4" s="2" t="s">
        <v>32</v>
      </c>
      <c r="C4" s="2" t="s">
        <v>33</v>
      </c>
      <c r="D4" s="2" t="s">
        <v>34</v>
      </c>
    </row>
    <row r="5" spans="1:4">
      <c r="A5" s="1" t="s">
        <v>35</v>
      </c>
      <c r="B5" s="1" t="s">
        <v>36</v>
      </c>
      <c r="C5" s="1" t="s">
        <v>37</v>
      </c>
      <c r="D5" s="1" t="s">
        <v>38</v>
      </c>
    </row>
    <row r="6" spans="1:4">
      <c r="A6" s="1" t="s">
        <v>39</v>
      </c>
      <c r="B6" s="1" t="s">
        <v>12</v>
      </c>
      <c r="C6" s="1" t="s">
        <v>37</v>
      </c>
      <c r="D6" s="1" t="s">
        <v>40</v>
      </c>
    </row>
    <row r="7" spans="1:4">
      <c r="A7" s="1" t="s">
        <v>41</v>
      </c>
      <c r="B7" s="1" t="s">
        <v>13</v>
      </c>
      <c r="C7" s="1" t="s">
        <v>37</v>
      </c>
      <c r="D7" s="1" t="s">
        <v>42</v>
      </c>
    </row>
    <row r="8" spans="1:4">
      <c r="A8" s="1" t="s">
        <v>43</v>
      </c>
      <c r="B8" s="1" t="s">
        <v>44</v>
      </c>
      <c r="C8" s="1" t="s">
        <v>37</v>
      </c>
      <c r="D8" s="1" t="s">
        <v>45</v>
      </c>
    </row>
    <row r="9" spans="1:4">
      <c r="A9" s="1" t="s">
        <v>46</v>
      </c>
      <c r="B9" s="1" t="s">
        <v>6</v>
      </c>
      <c r="C9" s="1" t="s">
        <v>37</v>
      </c>
      <c r="D9" s="1" t="s">
        <v>47</v>
      </c>
    </row>
    <row r="10" spans="1:4">
      <c r="A10" s="1" t="s">
        <v>46</v>
      </c>
      <c r="B10" s="1" t="s">
        <v>7</v>
      </c>
      <c r="C10" s="1" t="s">
        <v>37</v>
      </c>
      <c r="D10" s="1" t="s">
        <v>47</v>
      </c>
    </row>
    <row r="11" spans="1:4">
      <c r="A11" s="1" t="s">
        <v>48</v>
      </c>
      <c r="B11" s="1" t="s">
        <v>49</v>
      </c>
      <c r="C11" s="1" t="s">
        <v>37</v>
      </c>
      <c r="D11" s="1" t="s">
        <v>50</v>
      </c>
    </row>
    <row r="12" spans="1:4">
      <c r="A12" s="1" t="s">
        <v>51</v>
      </c>
      <c r="B12" s="1" t="s">
        <v>52</v>
      </c>
      <c r="C12" s="1" t="s">
        <v>37</v>
      </c>
      <c r="D12" s="1" t="s">
        <v>53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showGridLines="0" workbookViewId="0"/>
  </sheetViews>
  <sheetFormatPr baseColWidth="10" defaultColWidth="8.83203125" defaultRowHeight="14"/>
  <cols>
    <col min="1" max="1" width="32" customWidth="1"/>
    <col min="2" max="3" width="26" customWidth="1"/>
  </cols>
  <sheetData>
    <row r="1" spans="1:3" ht="28" customHeight="1">
      <c r="A1" s="11" t="s">
        <v>54</v>
      </c>
      <c r="B1" s="10"/>
      <c r="C1" s="10"/>
    </row>
    <row r="2" spans="1:3" ht="26" customHeight="1">
      <c r="A2" s="9" t="s">
        <v>55</v>
      </c>
      <c r="B2" s="10"/>
      <c r="C2" s="10"/>
    </row>
    <row r="3" spans="1:3" ht="16" customHeight="1">
      <c r="A3" s="2" t="s">
        <v>56</v>
      </c>
      <c r="B3" s="2" t="s">
        <v>57</v>
      </c>
      <c r="C3" s="2" t="s">
        <v>35</v>
      </c>
    </row>
    <row r="4" spans="1:3">
      <c r="A4" s="1" t="s">
        <v>58</v>
      </c>
      <c r="B4" s="3">
        <f>GETPIVOTDATA("Sum of Participants",Pivot_Report!$A$3)</f>
        <v>122</v>
      </c>
      <c r="C4" s="1" t="s">
        <v>59</v>
      </c>
    </row>
    <row r="5" spans="1:3">
      <c r="A5" s="1" t="s">
        <v>60</v>
      </c>
      <c r="B5" s="4">
        <f>GETPIVOTDATA("Sum of Spend",Pivot_Report!$A$3)</f>
        <v>341000</v>
      </c>
      <c r="C5" s="1" t="s">
        <v>59</v>
      </c>
    </row>
    <row r="6" spans="1:3">
      <c r="A6" s="1" t="s">
        <v>61</v>
      </c>
      <c r="B6" s="3">
        <f>GETPIVOTDATA("Sum of Participants",Pivot_Report!$A$3,"Region","East","Program","Vaccination")</f>
        <v>38</v>
      </c>
      <c r="C6" s="1" t="s">
        <v>59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showGridLines="0" workbookViewId="0"/>
  </sheetViews>
  <sheetFormatPr baseColWidth="10" defaultColWidth="8.83203125" defaultRowHeight="14"/>
  <cols>
    <col min="1" max="3" width="28" customWidth="1"/>
    <col min="4" max="4" width="40" customWidth="1"/>
  </cols>
  <sheetData>
    <row r="1" spans="1:4" ht="28" customHeight="1">
      <c r="A1" s="11" t="s">
        <v>62</v>
      </c>
      <c r="B1" s="10"/>
      <c r="C1" s="10"/>
      <c r="D1" s="10"/>
    </row>
    <row r="2" spans="1:4" ht="26" customHeight="1">
      <c r="A2" s="9" t="s">
        <v>63</v>
      </c>
      <c r="B2" s="10"/>
      <c r="C2" s="10"/>
      <c r="D2" s="10"/>
    </row>
    <row r="4" spans="1:4" ht="16" customHeight="1">
      <c r="A4" s="2" t="s">
        <v>31</v>
      </c>
      <c r="B4" s="2" t="s">
        <v>32</v>
      </c>
      <c r="C4" s="2" t="s">
        <v>33</v>
      </c>
      <c r="D4" s="2" t="s">
        <v>34</v>
      </c>
    </row>
    <row r="5" spans="1:4">
      <c r="A5" s="1" t="s">
        <v>64</v>
      </c>
      <c r="B5" s="1" t="s">
        <v>65</v>
      </c>
      <c r="C5" s="1" t="s">
        <v>37</v>
      </c>
      <c r="D5" s="1" t="s">
        <v>66</v>
      </c>
    </row>
    <row r="6" spans="1:4">
      <c r="A6" s="1" t="s">
        <v>67</v>
      </c>
      <c r="B6" s="1" t="s">
        <v>68</v>
      </c>
      <c r="C6" s="1" t="s">
        <v>37</v>
      </c>
      <c r="D6" s="1" t="s">
        <v>69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"/>
  <sheetViews>
    <sheetView showGridLines="0" workbookViewId="0"/>
  </sheetViews>
  <sheetFormatPr baseColWidth="10" defaultColWidth="8.83203125" defaultRowHeight="14"/>
  <cols>
    <col min="1" max="1" width="26" customWidth="1"/>
    <col min="2" max="2" width="38" customWidth="1"/>
    <col min="3" max="3" width="26" customWidth="1"/>
    <col min="4" max="4" width="36" customWidth="1"/>
  </cols>
  <sheetData>
    <row r="1" spans="1:4" ht="28" customHeight="1">
      <c r="A1" s="11" t="s">
        <v>70</v>
      </c>
      <c r="B1" s="10"/>
      <c r="C1" s="10"/>
      <c r="D1" s="10"/>
    </row>
    <row r="2" spans="1:4" ht="26" customHeight="1">
      <c r="A2" s="9" t="s">
        <v>71</v>
      </c>
      <c r="B2" s="10"/>
      <c r="C2" s="10"/>
      <c r="D2" s="10"/>
    </row>
    <row r="3" spans="1:4" ht="16" customHeight="1">
      <c r="A3" s="2" t="s">
        <v>72</v>
      </c>
      <c r="B3" s="2" t="s">
        <v>73</v>
      </c>
      <c r="C3" s="2" t="s">
        <v>74</v>
      </c>
      <c r="D3" s="2" t="s">
        <v>34</v>
      </c>
    </row>
    <row r="4" spans="1:4">
      <c r="A4" s="1" t="s">
        <v>75</v>
      </c>
      <c r="B4" s="1" t="s">
        <v>76</v>
      </c>
      <c r="C4" s="1" t="s">
        <v>37</v>
      </c>
      <c r="D4" s="1"/>
    </row>
    <row r="5" spans="1:4">
      <c r="A5" s="1" t="s">
        <v>77</v>
      </c>
      <c r="B5" s="1" t="s">
        <v>78</v>
      </c>
      <c r="C5" s="1" t="s">
        <v>37</v>
      </c>
      <c r="D5" s="1"/>
    </row>
    <row r="6" spans="1:4">
      <c r="A6" s="1" t="s">
        <v>79</v>
      </c>
      <c r="B6" s="1" t="s">
        <v>80</v>
      </c>
      <c r="C6" s="1" t="s">
        <v>37</v>
      </c>
      <c r="D6" s="1"/>
    </row>
    <row r="7" spans="1:4">
      <c r="A7" s="1" t="s">
        <v>81</v>
      </c>
      <c r="B7" s="1" t="s">
        <v>82</v>
      </c>
      <c r="C7" s="1" t="s">
        <v>37</v>
      </c>
      <c r="D7" s="1"/>
    </row>
    <row r="8" spans="1:4">
      <c r="A8" s="1" t="s">
        <v>48</v>
      </c>
      <c r="B8" s="1" t="s">
        <v>49</v>
      </c>
      <c r="C8" s="1" t="s">
        <v>37</v>
      </c>
      <c r="D8" s="1"/>
    </row>
    <row r="9" spans="1:4">
      <c r="A9" s="1" t="s">
        <v>83</v>
      </c>
      <c r="B9" s="1" t="s">
        <v>84</v>
      </c>
      <c r="C9" s="1" t="s">
        <v>37</v>
      </c>
      <c r="D9" s="1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Pivot_Report</vt:lpstr>
      <vt:lpstr>Program_Data</vt:lpstr>
      <vt:lpstr>Pivot_Specification</vt:lpstr>
      <vt:lpstr>KPI_Summary</vt:lpstr>
      <vt:lpstr>Pivot_Chart_Requirement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Zhenpeng Liu</cp:lastModifiedBy>
  <dcterms:created xsi:type="dcterms:W3CDTF">2026-08-31T16:50:19Z</dcterms:created>
  <dcterms:modified xsi:type="dcterms:W3CDTF">2026-08-31T17:09:58Z</dcterms:modified>
</cp:coreProperties>
</file>