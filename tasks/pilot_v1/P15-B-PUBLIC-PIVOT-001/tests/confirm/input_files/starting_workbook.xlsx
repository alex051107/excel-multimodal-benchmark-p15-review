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7940" tabRatio="600" firstSheet="0" activeTab="0" autoFilterDateGrouping="1"/>
  </bookViews>
  <sheets>
    <sheet xmlns:r="http://schemas.openxmlformats.org/officeDocument/2006/relationships" name="Pivot_Report" sheetId="1" state="visible" r:id="rId1"/>
    <sheet xmlns:r="http://schemas.openxmlformats.org/officeDocument/2006/relationships" name="Program_Data" sheetId="2" state="visible" r:id="rId2"/>
    <sheet xmlns:r="http://schemas.openxmlformats.org/officeDocument/2006/relationships" name="Pivot_Specification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Pivot_Chart_Requirement" sheetId="5" state="visible" r:id="rId5"/>
    <sheet xmlns:r="http://schemas.openxmlformats.org/officeDocument/2006/relationships" name="Checks" sheetId="6" state="visible" r:id="rId6"/>
  </sheets>
  <definedNames/>
  <calcPr calcId="191029" calcMode="auto" fullCalcOnLoad="1" forceFullCalc="1"/>
  <pivotCaches>
    <pivotCache xmlns:r="http://schemas.openxmlformats.org/officeDocument/2006/relationships" cacheId="124" r:id="rId7"/>
  </pivotCaches>
</workbook>
</file>

<file path=xl/styles.xml><?xml version="1.0" encoding="utf-8"?>
<styleSheet xmlns="http://schemas.openxmlformats.org/spreadsheetml/2006/main">
  <numFmts count="1">
    <numFmt numFmtId="164" formatCode="\$#,##0"/>
  </numFmts>
  <fonts count="4">
    <font>
      <name val="Carlito"/>
      <sz val="11"/>
    </font>
    <font>
      <name val="Carlito"/>
      <b val="1"/>
      <color rgb="FFFFFFFF"/>
      <sz val="15"/>
    </font>
    <font>
      <name val="Carlito"/>
      <i val="1"/>
      <color rgb="FF1F2937"/>
      <sz val="9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pivotSource>
    <name>[p15-native-confirm-867ceab2ada2484e89dd8d804be2b7f9.staging.xlsx]Pivot_Report!ProgramDeliveryPivot</name>
    <fmtId val="0"/>
  </pivotSource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Program Delivery by Region and Program</a:t>
            </a:r>
          </a:p>
        </rich>
      </tx>
      <overlay val="0"/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5"/>
        <spPr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6"/>
        <spPr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7"/>
        <spPr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Pivot_Report!$B$3:$B$5</f>
              <strCache>
                <ptCount val="1"/>
                <pt idx="0">
                  <v>Vaccination - Sum of Participants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East</v>
                </pt>
                <pt idx="1">
                  <v>West</v>
                </pt>
              </strCache>
            </strRef>
          </cat>
          <val>
            <numRef>
              <f>Pivot_Report!$B$6:$B$8</f>
              <numCache>
                <formatCode>0</formatCode>
                <ptCount val="2"/>
                <pt idx="0">
                  <v>38</v>
                </pt>
                <pt idx="1">
                  <v>34</v>
                </pt>
              </numCache>
            </numRef>
          </val>
        </ser>
        <ser>
          <idx val="1"/>
          <order val="1"/>
          <tx>
            <strRef>
              <f>Pivot_Report!$C$3:$C$5</f>
              <strCache>
                <ptCount val="1"/>
                <pt idx="0">
                  <v>Vaccination - Sum of Spend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East</v>
                </pt>
                <pt idx="1">
                  <v>West</v>
                </pt>
              </strCache>
            </strRef>
          </cat>
          <val>
            <numRef>
              <f>Pivot_Report!$C$6:$C$8</f>
              <numCache>
                <formatCode>\$#,##0</formatCode>
                <ptCount val="2"/>
                <pt idx="0">
                  <v>114000</v>
                </pt>
                <pt idx="1">
                  <v>102000</v>
                </pt>
              </numCache>
            </numRef>
          </val>
        </ser>
        <ser>
          <idx val="2"/>
          <order val="2"/>
          <tx>
            <strRef>
              <f>Pivot_Report!$D$3:$D$5</f>
              <strCache>
                <ptCount val="1"/>
                <pt idx="0">
                  <v>Nutrition - Sum of Participants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East</v>
                </pt>
                <pt idx="1">
                  <v>West</v>
                </pt>
              </strCache>
            </strRef>
          </cat>
          <val>
            <numRef>
              <f>Pivot_Report!$D$6:$D$8</f>
              <numCache>
                <formatCode>0</formatCode>
                <ptCount val="2"/>
                <pt idx="0">
                  <v>27</v>
                </pt>
                <pt idx="1">
                  <v>23</v>
                </pt>
              </numCache>
            </numRef>
          </val>
        </ser>
        <ser>
          <idx val="3"/>
          <order val="3"/>
          <tx>
            <strRef>
              <f>Pivot_Report!$E$3:$E$5</f>
              <strCache>
                <ptCount val="1"/>
                <pt idx="0">
                  <v>Nutrition - Sum of Spend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East</v>
                </pt>
                <pt idx="1">
                  <v>West</v>
                </pt>
              </strCache>
            </strRef>
          </cat>
          <val>
            <numRef>
              <f>Pivot_Report!$E$6:$E$8</f>
              <numCache>
                <formatCode>\$#,##0</formatCode>
                <ptCount val="2"/>
                <pt idx="0">
                  <v>67500</v>
                </pt>
                <pt idx="1">
                  <v>57500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731732672"/>
        <axId val="1756490688"/>
      </barChart>
      <catAx>
        <axId val="173173267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756490688"/>
        <crosses val="autoZero"/>
        <auto val="1"/>
        <lblAlgn val="ctr"/>
        <lblOffset val="100"/>
        <noMultiLvlLbl val="0"/>
      </catAx>
      <valAx>
        <axId val="1756490688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173173267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101600</colOff>
      <row>1</row>
      <rowOff>76200</rowOff>
    </from>
    <to>
      <col>10</col>
      <colOff>723900</colOff>
      <row>22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刘振鹏" refreshedDate="46265.54859803241" createdVersion="8" refreshedVersion="8" minRefreshableVersion="3" recordCount="8" r:id="rId1">
  <cacheSource type="worksheet">
    <worksheetSource name="ProgramEventsTable"/>
  </cacheSource>
  <cacheFields count="6">
    <cacheField name="Event ID" uniqueList="1" numFmtId="0" sqlType="0" hierarchy="0" level="0" databaseField="1">
      <sharedItems count="0"/>
    </cacheField>
    <cacheField name="Region" uniqueList="1" numFmtId="0" sqlType="0" hierarchy="0" level="0" databaseField="1">
      <sharedItems count="4">
        <s v="East"/>
        <s v="West"/>
        <s v="North" u="1"/>
        <s v="South" u="1"/>
      </sharedItems>
    </cacheField>
    <cacheField name="Program" uniqueList="1" numFmtId="0" sqlType="0" hierarchy="0" level="0" databaseField="1">
      <sharedItems count="4">
        <s v="Vaccination"/>
        <s v="Nutrition"/>
        <s v="Outreach" u="1"/>
        <s v="Training" u="1"/>
      </sharedItems>
    </cacheField>
    <cacheField name="Quarter" uniqueList="1" numFmtId="0" sqlType="0" hierarchy="0" level="0" databaseField="1">
      <sharedItems count="2">
        <s v="2024Q1"/>
        <s v="2024Q2"/>
      </sharedItems>
    </cacheField>
    <cacheField name="Participants" uniqueList="1" numFmtId="1" sqlType="0" hierarchy="0" level="0" databaseField="1">
      <sharedItems count="0" containsInteger="1" containsNumber="1" containsSemiMixedTypes="0" containsString="0" minValue="17" maxValue="38"/>
    </cacheField>
    <cacheField name="Spend" uniqueList="1" numFmtId="164" sqlType="0" hierarchy="0" level="0" databaseField="1">
      <sharedItems count="0" containsInteger="1" containsNumber="1" containsSemiMixedTypes="0" containsString="0" minValue="42500" maxValue="114000"/>
    </cacheField>
  </cacheFields>
</pivotCacheDefinition>
</file>

<file path=xl/pivotCache/pivotCacheRecords1.xml><?xml version="1.0" encoding="utf-8"?>
<pivotCacheRecords xmlns="http://schemas.openxmlformats.org/spreadsheetml/2006/main" count="8">
  <r>
    <s v="HX-01"/>
    <x v="0"/>
    <x v="0"/>
    <x v="0"/>
    <n v="30"/>
    <n v="90000"/>
  </r>
  <r>
    <s v="HX-02"/>
    <x v="0"/>
    <x v="0"/>
    <x v="1"/>
    <n v="38"/>
    <n v="114000"/>
  </r>
  <r>
    <s v="HX-03"/>
    <x v="1"/>
    <x v="0"/>
    <x v="0"/>
    <n v="26"/>
    <n v="78000"/>
  </r>
  <r>
    <s v="HX-04"/>
    <x v="1"/>
    <x v="0"/>
    <x v="1"/>
    <n v="34"/>
    <n v="102000"/>
  </r>
  <r>
    <s v="HX-05"/>
    <x v="0"/>
    <x v="1"/>
    <x v="0"/>
    <n v="20"/>
    <n v="50000"/>
  </r>
  <r>
    <s v="HX-06"/>
    <x v="0"/>
    <x v="1"/>
    <x v="1"/>
    <n v="27"/>
    <n v="67500"/>
  </r>
  <r>
    <s v="HX-07"/>
    <x v="1"/>
    <x v="1"/>
    <x v="0"/>
    <n v="17"/>
    <n v="42500"/>
  </r>
  <r>
    <s v="HX-08"/>
    <x v="1"/>
    <x v="1"/>
    <x v="1"/>
    <n v="23"/>
    <n v="575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rogramDeliveryPivot" cacheId="12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G8" firstHeaderRow="1" firstDataRow="3" firstDataCol="1" rowPageCount="1" colPageCount="1"/>
  <pivotFields count="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m="1" x="2"/>
        <item t="data" sd="1" m="1" x="3"/>
        <item t="data" sd="1" x="0"/>
        <item t="data" sd="1" x="1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m="1" x="2"/>
        <item t="data" sd="1" m="1" x="3"/>
        <item t="data" sd="1" x="0"/>
        <item t="data" sd="1" x="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3">
    <i t="data" r="0" i="0">
      <x v="2"/>
    </i>
    <i t="data" r="0" i="0">
      <x v="3"/>
    </i>
    <i t="grand" r="0" i="0">
      <x v="0"/>
    </i>
  </rowItems>
  <colFields count="2">
    <field x="2"/>
    <field x="-2"/>
  </colFields>
  <colItems count="6">
    <i t="data" r="0" i="0">
      <x v="2"/>
      <x v="0"/>
    </i>
    <i t="data" r="1" i="1">
      <x v="1"/>
    </i>
    <i t="data" r="0" i="0">
      <x v="3"/>
      <x v="0"/>
    </i>
    <i t="data" r="1" i="1">
      <x v="1"/>
    </i>
    <i t="grand" r="0" i="0">
      <x v="0"/>
    </i>
    <i t="grand" r="0" i="1">
      <x v="0"/>
    </i>
  </colItems>
  <pageFields count="1">
    <pageField fld="3" item="1" hier="-1"/>
  </pageFields>
  <dataFields count="2">
    <dataField name="Sum of Participants" fld="4" subtotal="sum" showDataAs="normal" baseField="0" baseItem="0" numFmtId="1"/>
    <dataField name="Sum of Spend" fld="5" subtotal="sum" showDataAs="normal" baseField="0" baseItem="0" numFmtId="164"/>
  </dataFields>
  <chartFormats count="8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0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1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1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2"/>
          </reference>
        </references>
      </pivotArea>
    </chartFormat>
    <chartFormat chart="0" format="5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2"/>
          </reference>
        </references>
      </pivotArea>
    </chartFormat>
    <chartFormat chart="0" format="6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3"/>
          </reference>
        </references>
      </pivotArea>
    </chartFormat>
    <chartFormat chart="0" format="7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ProgramEventsTable" displayName="ProgramEventsTable" ref="A3:F11" headerRowCount="1">
  <autoFilter ref="A3:F11"/>
  <tableColumns count="6">
    <tableColumn id="1" name="Event ID"/>
    <tableColumn id="2" name="Region"/>
    <tableColumn id="3" name="Program"/>
    <tableColumn id="4" name="Quarter"/>
    <tableColumn id="5" name="Participants"/>
    <tableColumn id="6" name="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A1" sqref="A1:G8"/>
    </sheetView>
  </sheetViews>
  <sheetFormatPr baseColWidth="10" defaultRowHeight="14"/>
  <cols>
    <col width="14" bestFit="1" customWidth="1" style="10" min="1" max="1"/>
    <col width="18.6640625" bestFit="1" customWidth="1" style="10" min="2" max="2"/>
    <col width="13.6640625" bestFit="1" customWidth="1" style="10" min="3" max="3"/>
    <col width="18.6640625" bestFit="1" customWidth="1" style="10" min="4" max="4"/>
    <col width="13.6640625" bestFit="1" customWidth="1" style="10" min="5" max="5"/>
    <col width="23.83203125" bestFit="1" customWidth="1" style="10" min="6" max="6"/>
    <col width="18.83203125" bestFit="1" customWidth="1" style="10" min="7" max="7"/>
  </cols>
  <sheetData>
    <row r="1">
      <c r="A1" s="5" t="inlineStr">
        <is>
          <t>Quarter</t>
        </is>
      </c>
      <c r="B1" t="inlineStr">
        <is>
          <t>2024Q2</t>
        </is>
      </c>
    </row>
    <row r="3">
      <c r="B3" s="5" t="inlineStr">
        <is>
          <t>Column Labels</t>
        </is>
      </c>
    </row>
    <row r="4">
      <c r="B4" t="inlineStr">
        <is>
          <t>Vaccination</t>
        </is>
      </c>
      <c r="D4" t="inlineStr">
        <is>
          <t>Nutrition</t>
        </is>
      </c>
      <c r="F4" t="inlineStr">
        <is>
          <t>Total Sum of Participants</t>
        </is>
      </c>
      <c r="G4" t="inlineStr">
        <is>
          <t>Total Sum of Spend</t>
        </is>
      </c>
    </row>
    <row r="5">
      <c r="A5" s="5" t="inlineStr">
        <is>
          <t>Row Labels</t>
        </is>
      </c>
      <c r="B5" t="inlineStr">
        <is>
          <t>Sum of Participants</t>
        </is>
      </c>
      <c r="C5" t="inlineStr">
        <is>
          <t>Sum of Spend</t>
        </is>
      </c>
      <c r="D5" t="inlineStr">
        <is>
          <t>Sum of Participants</t>
        </is>
      </c>
      <c r="E5" t="inlineStr">
        <is>
          <t>Sum of Spend</t>
        </is>
      </c>
    </row>
    <row r="6">
      <c r="A6" s="6" t="inlineStr">
        <is>
          <t>East</t>
        </is>
      </c>
      <c r="B6" s="7" t="n">
        <v>38</v>
      </c>
      <c r="C6" s="8" t="n">
        <v>114000</v>
      </c>
      <c r="D6" s="7" t="n">
        <v>27</v>
      </c>
      <c r="E6" s="8" t="n">
        <v>67500</v>
      </c>
      <c r="F6" s="7" t="n">
        <v>65</v>
      </c>
      <c r="G6" s="8" t="n">
        <v>181500</v>
      </c>
    </row>
    <row r="7">
      <c r="A7" s="6" t="inlineStr">
        <is>
          <t>West</t>
        </is>
      </c>
      <c r="B7" s="7" t="n">
        <v>34</v>
      </c>
      <c r="C7" s="8" t="n">
        <v>102000</v>
      </c>
      <c r="D7" s="7" t="n">
        <v>23</v>
      </c>
      <c r="E7" s="8" t="n">
        <v>57500</v>
      </c>
      <c r="F7" s="7" t="n">
        <v>57</v>
      </c>
      <c r="G7" s="8" t="n">
        <v>159500</v>
      </c>
    </row>
    <row r="8">
      <c r="A8" s="6" t="inlineStr">
        <is>
          <t>Grand Total</t>
        </is>
      </c>
      <c r="B8" s="7" t="n">
        <v>72</v>
      </c>
      <c r="C8" s="8" t="n">
        <v>216000</v>
      </c>
      <c r="D8" s="7" t="n">
        <v>50</v>
      </c>
      <c r="E8" s="8" t="n">
        <v>125000</v>
      </c>
      <c r="F8" s="7" t="n">
        <v>122</v>
      </c>
      <c r="G8" s="8" t="n">
        <v>341000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3" sqref="A3:F11"/>
    </sheetView>
  </sheetViews>
  <sheetFormatPr baseColWidth="10" defaultColWidth="8.83203125" defaultRowHeight="14"/>
  <cols>
    <col width="14" customWidth="1" style="10" min="1" max="1"/>
    <col width="18" customWidth="1" style="10" min="2" max="2"/>
    <col width="20" customWidth="1" style="10" min="3" max="3"/>
    <col width="18" customWidth="1" style="10" min="4" max="6"/>
  </cols>
  <sheetData>
    <row r="1" ht="28" customHeight="1" s="10">
      <c r="A1" s="11" t="inlineStr">
        <is>
          <t>Program Event Detail — Confirm Instance</t>
        </is>
      </c>
    </row>
    <row r="2" ht="26" customHeight="1" s="10">
      <c r="A2" s="9" t="inlineStr">
        <is>
          <t>Source records for the held-out Q2 program-delivery PivotTable. Keep every event row intact.</t>
        </is>
      </c>
    </row>
    <row r="3" ht="16" customHeight="1" s="10">
      <c r="A3" s="2" t="inlineStr">
        <is>
          <t>Event ID</t>
        </is>
      </c>
      <c r="B3" s="2" t="inlineStr">
        <is>
          <t>Region</t>
        </is>
      </c>
      <c r="C3" s="2" t="inlineStr">
        <is>
          <t>Program</t>
        </is>
      </c>
      <c r="D3" s="2" t="inlineStr">
        <is>
          <t>Quarter</t>
        </is>
      </c>
      <c r="E3" s="2" t="inlineStr">
        <is>
          <t>Participants</t>
        </is>
      </c>
      <c r="F3" s="2" t="inlineStr">
        <is>
          <t>Spend</t>
        </is>
      </c>
    </row>
    <row r="4">
      <c r="A4" s="1" t="inlineStr">
        <is>
          <t>HX-01</t>
        </is>
      </c>
      <c r="B4" s="1" t="inlineStr">
        <is>
          <t>East</t>
        </is>
      </c>
      <c r="C4" s="1" t="inlineStr">
        <is>
          <t>Vaccination</t>
        </is>
      </c>
      <c r="D4" s="1" t="inlineStr">
        <is>
          <t>2024Q1</t>
        </is>
      </c>
      <c r="E4" s="3" t="n">
        <v>29</v>
      </c>
      <c r="F4" s="4" t="n">
        <v>87000</v>
      </c>
    </row>
    <row r="5">
      <c r="A5" s="1" t="inlineStr">
        <is>
          <t>HX-02</t>
        </is>
      </c>
      <c r="B5" s="1" t="inlineStr">
        <is>
          <t>East</t>
        </is>
      </c>
      <c r="C5" s="1" t="inlineStr">
        <is>
          <t>Vaccination</t>
        </is>
      </c>
      <c r="D5" s="1" t="inlineStr">
        <is>
          <t>2024Q2</t>
        </is>
      </c>
      <c r="E5" s="3" t="n">
        <v>35</v>
      </c>
      <c r="F5" s="4" t="n">
        <v>105000</v>
      </c>
    </row>
    <row r="6">
      <c r="A6" s="1" t="inlineStr">
        <is>
          <t>HX-03</t>
        </is>
      </c>
      <c r="B6" s="1" t="inlineStr">
        <is>
          <t>West</t>
        </is>
      </c>
      <c r="C6" s="1" t="inlineStr">
        <is>
          <t>Vaccination</t>
        </is>
      </c>
      <c r="D6" s="1" t="inlineStr">
        <is>
          <t>2024Q1</t>
        </is>
      </c>
      <c r="E6" s="3" t="n">
        <v>25</v>
      </c>
      <c r="F6" s="4" t="n">
        <v>75000</v>
      </c>
    </row>
    <row r="7">
      <c r="A7" s="1" t="inlineStr">
        <is>
          <t>HX-04</t>
        </is>
      </c>
      <c r="B7" s="1" t="inlineStr">
        <is>
          <t>West</t>
        </is>
      </c>
      <c r="C7" s="1" t="inlineStr">
        <is>
          <t>Vaccination</t>
        </is>
      </c>
      <c r="D7" s="1" t="inlineStr">
        <is>
          <t>2024Q2</t>
        </is>
      </c>
      <c r="E7" s="3" t="n">
        <v>31</v>
      </c>
      <c r="F7" s="4" t="n">
        <v>93000</v>
      </c>
    </row>
    <row r="8">
      <c r="A8" s="1" t="inlineStr">
        <is>
          <t>HX-05</t>
        </is>
      </c>
      <c r="B8" s="1" t="inlineStr">
        <is>
          <t>East</t>
        </is>
      </c>
      <c r="C8" s="1" t="inlineStr">
        <is>
          <t>Nutrition</t>
        </is>
      </c>
      <c r="D8" s="1" t="inlineStr">
        <is>
          <t>2024Q1</t>
        </is>
      </c>
      <c r="E8" s="3" t="n">
        <v>19</v>
      </c>
      <c r="F8" s="4" t="n">
        <v>47500</v>
      </c>
    </row>
    <row r="9">
      <c r="A9" s="1" t="inlineStr">
        <is>
          <t>HX-06</t>
        </is>
      </c>
      <c r="B9" s="1" t="inlineStr">
        <is>
          <t>East</t>
        </is>
      </c>
      <c r="C9" s="1" t="inlineStr">
        <is>
          <t>Nutrition</t>
        </is>
      </c>
      <c r="D9" s="1" t="inlineStr">
        <is>
          <t>2024Q2</t>
        </is>
      </c>
      <c r="E9" s="3" t="n">
        <v>24</v>
      </c>
      <c r="F9" s="4" t="n">
        <v>60000</v>
      </c>
    </row>
    <row r="10">
      <c r="A10" s="1" t="inlineStr">
        <is>
          <t>HX-07</t>
        </is>
      </c>
      <c r="B10" s="1" t="inlineStr">
        <is>
          <t>West</t>
        </is>
      </c>
      <c r="C10" s="1" t="inlineStr">
        <is>
          <t>Nutrition</t>
        </is>
      </c>
      <c r="D10" s="1" t="inlineStr">
        <is>
          <t>2024Q1</t>
        </is>
      </c>
      <c r="E10" s="3" t="n">
        <v>16</v>
      </c>
      <c r="F10" s="4" t="n">
        <v>40000</v>
      </c>
    </row>
    <row r="11">
      <c r="A11" s="1" t="inlineStr">
        <is>
          <t>HX-08</t>
        </is>
      </c>
      <c r="B11" s="1" t="inlineStr">
        <is>
          <t>West</t>
        </is>
      </c>
      <c r="C11" s="1" t="inlineStr">
        <is>
          <t>Nutrition</t>
        </is>
      </c>
      <c r="D11" s="1" t="inlineStr">
        <is>
          <t>2024Q2</t>
        </is>
      </c>
      <c r="E11" s="3" t="n">
        <v>21</v>
      </c>
      <c r="F11" s="4" t="n">
        <v>52500</v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style="10" min="1" max="1"/>
    <col width="30" customWidth="1" style="10" min="2" max="2"/>
    <col width="24" customWidth="1" style="10" min="3" max="3"/>
    <col width="38" customWidth="1" style="10" min="4" max="4"/>
  </cols>
  <sheetData>
    <row r="1" ht="28" customHeight="1" s="10">
      <c r="A1" s="11" t="inlineStr">
        <is>
          <t>Q2 Program Delivery Pivot Specification — Confirm Instance</t>
        </is>
      </c>
    </row>
    <row r="2" ht="26" customHeight="1" s="10">
      <c r="A2" s="9" t="inlineStr">
        <is>
          <t>Build a native, refreshable Excel PivotTable and PivotChart from Program_Data.</t>
        </is>
      </c>
    </row>
    <row r="4" ht="16" customHeight="1" s="10">
      <c r="A4" s="2" t="inlineStr">
        <is>
          <t>Requirement</t>
        </is>
      </c>
      <c r="B4" s="2" t="inlineStr">
        <is>
          <t>Requested setting</t>
        </is>
      </c>
      <c r="C4" s="2" t="inlineStr">
        <is>
          <t>Delivery status</t>
        </is>
      </c>
      <c r="D4" s="2" t="inlineStr">
        <is>
          <t>Reviewer note</t>
        </is>
      </c>
    </row>
    <row r="5">
      <c r="A5" s="1" t="inlineStr">
        <is>
          <t>Source</t>
        </is>
      </c>
      <c r="B5" s="1" t="inlineStr">
        <is>
          <t>Program_Data event records</t>
        </is>
      </c>
      <c r="C5" s="1" t="inlineStr">
        <is>
          <t>To complete</t>
        </is>
      </c>
      <c r="D5" s="1" t="inlineStr">
        <is>
          <t>Use the full event dataset</t>
        </is>
      </c>
    </row>
    <row r="6">
      <c r="A6" s="1" t="inlineStr">
        <is>
          <t>Rows</t>
        </is>
      </c>
      <c r="B6" s="1" t="inlineStr">
        <is>
          <t>Region</t>
        </is>
      </c>
      <c r="C6" s="1" t="inlineStr">
        <is>
          <t>To complete</t>
        </is>
      </c>
      <c r="D6" s="1" t="inlineStr">
        <is>
          <t>One row field</t>
        </is>
      </c>
    </row>
    <row r="7">
      <c r="A7" s="1" t="inlineStr">
        <is>
          <t>Columns</t>
        </is>
      </c>
      <c r="B7" s="1" t="inlineStr">
        <is>
          <t>Program</t>
        </is>
      </c>
      <c r="C7" s="1" t="inlineStr">
        <is>
          <t>To complete</t>
        </is>
      </c>
      <c r="D7" s="1" t="inlineStr">
        <is>
          <t>One column field</t>
        </is>
      </c>
    </row>
    <row r="8">
      <c r="A8" s="1" t="inlineStr">
        <is>
          <t>Filter</t>
        </is>
      </c>
      <c r="B8" s="1" t="inlineStr">
        <is>
          <t>Quarter = 2024Q2</t>
        </is>
      </c>
      <c r="C8" s="1" t="inlineStr">
        <is>
          <t>To complete</t>
        </is>
      </c>
      <c r="D8" s="1" t="inlineStr">
        <is>
          <t>Show the selected quarter</t>
        </is>
      </c>
    </row>
    <row r="9">
      <c r="A9" s="1" t="inlineStr">
        <is>
          <t>Measure</t>
        </is>
      </c>
      <c r="B9" s="1" t="inlineStr">
        <is>
          <t>Sum of Participants</t>
        </is>
      </c>
      <c r="C9" s="1" t="inlineStr">
        <is>
          <t>To complete</t>
        </is>
      </c>
      <c r="D9" s="1" t="inlineStr">
        <is>
          <t>Native sum aggregation</t>
        </is>
      </c>
    </row>
    <row r="10">
      <c r="A10" s="1" t="inlineStr">
        <is>
          <t>Measure</t>
        </is>
      </c>
      <c r="B10" s="1" t="inlineStr">
        <is>
          <t>Sum of Spend</t>
        </is>
      </c>
      <c r="C10" s="1" t="inlineStr">
        <is>
          <t>To complete</t>
        </is>
      </c>
      <c r="D10" s="1" t="inlineStr">
        <is>
          <t>Native sum aggregation</t>
        </is>
      </c>
    </row>
    <row r="11">
      <c r="A11" s="1" t="inlineStr">
        <is>
          <t>Refresh</t>
        </is>
      </c>
      <c r="B11" s="1" t="inlineStr">
        <is>
          <t>Refresh when opened</t>
        </is>
      </c>
      <c r="C11" s="1" t="inlineStr">
        <is>
          <t>To complete</t>
        </is>
      </c>
      <c r="D11" s="1" t="inlineStr">
        <is>
          <t>Keep the source connection refreshable</t>
        </is>
      </c>
    </row>
    <row r="12">
      <c r="A12" s="1" t="inlineStr">
        <is>
          <t>Chart</t>
        </is>
      </c>
      <c r="B12" s="1" t="inlineStr">
        <is>
          <t>Clustered-column PivotChart</t>
        </is>
      </c>
      <c r="C12" s="1" t="inlineStr">
        <is>
          <t>To complete</t>
        </is>
      </c>
      <c r="D12" s="1" t="inlineStr">
        <is>
          <t>Base the chart on the PivotTable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10" defaultColWidth="8.83203125" defaultRowHeight="14"/>
  <cols>
    <col width="32" customWidth="1" style="10" min="1" max="1"/>
    <col width="26" customWidth="1" style="10" min="2" max="3"/>
  </cols>
  <sheetData>
    <row r="1" ht="28" customHeight="1" s="10">
      <c r="A1" s="11" t="inlineStr">
        <is>
          <t>Q2 Program Delivery KPIs — Confirm Instance</t>
        </is>
      </c>
    </row>
    <row r="2" ht="26" customHeight="1" s="10">
      <c r="A2" s="9" t="inlineStr">
        <is>
          <t>Link each value to the completed native PivotTable so it remains refreshable.</t>
        </is>
      </c>
    </row>
    <row r="3" ht="16" customHeight="1" s="10">
      <c r="A3" s="2" t="inlineStr">
        <is>
          <t>KPI</t>
        </is>
      </c>
      <c r="B3" s="2" t="inlineStr">
        <is>
          <t>Value</t>
        </is>
      </c>
      <c r="C3" s="2" t="inlineStr">
        <is>
          <t>Source</t>
        </is>
      </c>
    </row>
    <row r="4">
      <c r="A4" s="1" t="inlineStr">
        <is>
          <t>2024Q2 participants</t>
        </is>
      </c>
      <c r="B4" s="3">
        <f>GETPIVOTDATA("Sum of Participants",Pivot_Report!$A$3)</f>
        <v/>
      </c>
      <c r="C4" s="1" t="inlineStr">
        <is>
          <t>Native PivotTable</t>
        </is>
      </c>
    </row>
    <row r="5">
      <c r="A5" s="1" t="inlineStr">
        <is>
          <t>2024Q2 spend</t>
        </is>
      </c>
      <c r="B5" s="4">
        <f>GETPIVOTDATA("Sum of Spend",Pivot_Report!$A$3)</f>
        <v/>
      </c>
      <c r="C5" s="1" t="inlineStr">
        <is>
          <t>Native PivotTable</t>
        </is>
      </c>
    </row>
    <row r="6">
      <c r="A6" s="1" t="inlineStr">
        <is>
          <t>East Vaccination participants</t>
        </is>
      </c>
      <c r="B6" s="3">
        <f>GETPIVOTDATA("Sum of Participants",Pivot_Report!$A$3,"Region","East","Program","Vaccination")</f>
        <v/>
      </c>
      <c r="C6" s="1" t="inlineStr">
        <is>
          <t>Native PivotTable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10" defaultColWidth="8.83203125" defaultRowHeight="14"/>
  <cols>
    <col width="28" customWidth="1" style="10" min="1" max="3"/>
    <col width="40" customWidth="1" style="10" min="4" max="4"/>
  </cols>
  <sheetData>
    <row r="1" ht="28" customHeight="1" s="10">
      <c r="A1" s="11" t="inlineStr">
        <is>
          <t>Q2 Review Chart — Confirm Instance</t>
        </is>
      </c>
    </row>
    <row r="2" ht="26" customHeight="1" s="10">
      <c r="A2" s="9" t="inlineStr">
        <is>
          <t>Place a clustered-column PivotChart here after creating the native PivotTable.</t>
        </is>
      </c>
    </row>
    <row r="4" ht="16" customHeight="1" s="10">
      <c r="A4" s="2" t="inlineStr">
        <is>
          <t>Requirement</t>
        </is>
      </c>
      <c r="B4" s="2" t="inlineStr">
        <is>
          <t>Requested setting</t>
        </is>
      </c>
      <c r="C4" s="2" t="inlineStr">
        <is>
          <t>Delivery status</t>
        </is>
      </c>
      <c r="D4" s="2" t="inlineStr">
        <is>
          <t>Reviewer note</t>
        </is>
      </c>
    </row>
    <row r="5">
      <c r="A5" s="1" t="inlineStr">
        <is>
          <t>Chart type</t>
        </is>
      </c>
      <c r="B5" s="1" t="inlineStr">
        <is>
          <t>Clustered column</t>
        </is>
      </c>
      <c r="C5" s="1" t="inlineStr">
        <is>
          <t>To complete</t>
        </is>
      </c>
      <c r="D5" s="1" t="inlineStr">
        <is>
          <t>Use a PivotChart</t>
        </is>
      </c>
    </row>
    <row r="6">
      <c r="A6" s="1" t="inlineStr">
        <is>
          <t>Purpose</t>
        </is>
      </c>
      <c r="B6" s="1" t="inlineStr">
        <is>
          <t>Q2 participants and spend review</t>
        </is>
      </c>
      <c r="C6" s="1" t="inlineStr">
        <is>
          <t>To complete</t>
        </is>
      </c>
      <c r="D6" s="1" t="inlineStr">
        <is>
          <t>Keep the chart bound to the PivotTable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10" defaultColWidth="8.83203125" defaultRowHeight="14"/>
  <cols>
    <col width="26" customWidth="1" style="10" min="1" max="1"/>
    <col width="38" customWidth="1" style="10" min="2" max="2"/>
    <col width="26" customWidth="1" style="10" min="3" max="3"/>
    <col width="36" customWidth="1" style="10" min="4" max="4"/>
  </cols>
  <sheetData>
    <row r="1" ht="28" customHeight="1" s="10">
      <c r="A1" s="11" t="inlineStr">
        <is>
          <t>Delivery Review Checklist — Confirm Instance</t>
        </is>
      </c>
    </row>
    <row r="2" ht="26" customHeight="1" s="10">
      <c r="A2" s="9" t="inlineStr">
        <is>
          <t>Use this sheet to record the workbook's final native-object checks before handoff.</t>
        </is>
      </c>
    </row>
    <row r="3" ht="16" customHeight="1" s="10">
      <c r="A3" s="2" t="inlineStr">
        <is>
          <t>Check</t>
        </is>
      </c>
      <c r="B3" s="2" t="inlineStr">
        <is>
          <t>Requested outcome</t>
        </is>
      </c>
      <c r="C3" s="2" t="inlineStr">
        <is>
          <t>Status</t>
        </is>
      </c>
      <c r="D3" s="2" t="inlineStr">
        <is>
          <t>Reviewer note</t>
        </is>
      </c>
    </row>
    <row r="4">
      <c r="A4" s="1" t="inlineStr">
        <is>
          <t>Source records</t>
        </is>
      </c>
      <c r="B4" s="1" t="inlineStr">
        <is>
          <t>All eight event rows retained</t>
        </is>
      </c>
      <c r="C4" s="1" t="inlineStr">
        <is>
          <t>To complete</t>
        </is>
      </c>
      <c r="D4" s="1" t="n"/>
    </row>
    <row r="5">
      <c r="A5" s="1" t="inlineStr">
        <is>
          <t>Pivot layout</t>
        </is>
      </c>
      <c r="B5" s="1" t="inlineStr">
        <is>
          <t>Region by Program</t>
        </is>
      </c>
      <c r="C5" s="1" t="inlineStr">
        <is>
          <t>To complete</t>
        </is>
      </c>
      <c r="D5" s="1" t="n"/>
    </row>
    <row r="6">
      <c r="A6" s="1" t="inlineStr">
        <is>
          <t>Quarter filter</t>
        </is>
      </c>
      <c r="B6" s="1" t="inlineStr">
        <is>
          <t>2024Q2 selected</t>
        </is>
      </c>
      <c r="C6" s="1" t="inlineStr">
        <is>
          <t>To complete</t>
        </is>
      </c>
      <c r="D6" s="1" t="n"/>
    </row>
    <row r="7">
      <c r="A7" s="1" t="inlineStr">
        <is>
          <t>Measures</t>
        </is>
      </c>
      <c r="B7" s="1" t="inlineStr">
        <is>
          <t>Participants and Spend use Sum</t>
        </is>
      </c>
      <c r="C7" s="1" t="inlineStr">
        <is>
          <t>To complete</t>
        </is>
      </c>
      <c r="D7" s="1" t="n"/>
    </row>
    <row r="8">
      <c r="A8" s="1" t="inlineStr">
        <is>
          <t>Refresh</t>
        </is>
      </c>
      <c r="B8" s="1" t="inlineStr">
        <is>
          <t>Refresh when opened</t>
        </is>
      </c>
      <c r="C8" s="1" t="inlineStr">
        <is>
          <t>To complete</t>
        </is>
      </c>
      <c r="D8" s="1" t="n"/>
    </row>
    <row r="9">
      <c r="A9" s="1" t="inlineStr">
        <is>
          <t>PivotChart</t>
        </is>
      </c>
      <c r="B9" s="1" t="inlineStr">
        <is>
          <t>Clustered column and Pivot-linked</t>
        </is>
      </c>
      <c r="C9" s="1" t="inlineStr">
        <is>
          <t>To complete</t>
        </is>
      </c>
      <c r="D9" s="1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2026-08-31T16:50:19Z</dcterms:created>
  <dcterms:modified xmlns:dcterms="http://purl.org/dc/terms/" xmlns:xsi="http://www.w3.org/2001/XMLSchema-instance" xsi:type="dcterms:W3CDTF">2026-08-31T18:33:16Z</dcterms:modified>
  <cp:lastModifiedBy>Zhenpeng Liu</cp:lastModifiedBy>
</cp:coreProperties>
</file>