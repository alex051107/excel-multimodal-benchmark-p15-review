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ceipt register" sheetId="1" state="visible" r:id="rId1"/>
    <sheet xmlns:r="http://schemas.openxmlformats.org/officeDocument/2006/relationships" name="Expense lines" sheetId="2" state="visible" r:id="rId2"/>
    <sheet xmlns:r="http://schemas.openxmlformats.org/officeDocument/2006/relationships" name="Spend summary" sheetId="3" state="visible" r:id="rId3"/>
    <sheet xmlns:r="http://schemas.openxmlformats.org/officeDocument/2006/relationships" name="Review exceptions" sheetId="4" state="visible" r:id="rId4"/>
    <sheet xmlns:r="http://schemas.openxmlformats.org/officeDocument/2006/relationships" name="Source register" sheetId="5" state="visible" r:id="rId5"/>
    <sheet xmlns:r="http://schemas.openxmlformats.org/officeDocument/2006/relationships" name="Batch check" sheetId="6" state="visible" r:id="rId6"/>
  </sheets>
  <definedNames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7" customWidth="1" min="3" max="3"/>
    <col width="17" customWidth="1" min="4" max="4"/>
    <col width="16" customWidth="1" min="5" max="5"/>
    <col width="14" customWidth="1" min="6" max="6"/>
    <col width="17" customWidth="1" min="7" max="7"/>
    <col width="25" customWidth="1" min="8" max="8"/>
  </cols>
  <sheetData>
    <row r="1" ht="26" customHeight="1">
      <c r="A1" s="14" t="inlineStr">
        <is>
          <t>Receipt Document Register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</row>
    <row r="3">
      <c r="A3" s="9" t="inlineStr">
        <is>
          <t>Document ID</t>
        </is>
      </c>
      <c r="B3" s="9" t="inlineStr">
        <is>
          <t>Merchant</t>
        </is>
      </c>
      <c r="C3" s="9" t="inlineStr">
        <is>
          <t>Date</t>
        </is>
      </c>
      <c r="D3" s="9" t="inlineStr">
        <is>
          <t>Subtotal</t>
        </is>
      </c>
      <c r="E3" s="9" t="inlineStr">
        <is>
          <t>Tax</t>
        </is>
      </c>
      <c r="F3" s="9" t="inlineStr">
        <is>
          <t>Tip</t>
        </is>
      </c>
      <c r="G3" s="9" t="inlineStr">
        <is>
          <t>Total</t>
        </is>
      </c>
      <c r="H3" s="9" t="inlineStr">
        <is>
          <t>Source file</t>
        </is>
      </c>
    </row>
    <row r="4">
      <c r="A4" s="12" t="inlineStr">
        <is>
          <t>R-001</t>
        </is>
      </c>
      <c r="B4" s="12" t="inlineStr">
        <is>
          <t>Cedar Cafe</t>
        </is>
      </c>
      <c r="C4" s="12" t="inlineStr">
        <is>
          <t>2026-06-03</t>
        </is>
      </c>
      <c r="D4" s="16">
        <f>'Items'!D4+'Items'!D5</f>
        <v/>
      </c>
      <c r="E4" s="16">
        <f>D4*0.0825</f>
        <v/>
      </c>
      <c r="F4" s="16" t="n">
        <v>3</v>
      </c>
      <c r="G4" s="16">
        <f>D4+E4+F4</f>
        <v/>
      </c>
      <c r="H4" s="12" t="inlineStr">
        <is>
          <t>receipt_photo_01.jpg</t>
        </is>
      </c>
    </row>
    <row r="5">
      <c r="A5" s="12" t="inlineStr">
        <is>
          <t>R-002</t>
        </is>
      </c>
      <c r="B5" s="12" t="inlineStr">
        <is>
          <t>Central Parking</t>
        </is>
      </c>
      <c r="C5" s="12" t="inlineStr">
        <is>
          <t>2026-06-07</t>
        </is>
      </c>
      <c r="D5" s="16">
        <f>'Items'!D6</f>
        <v/>
      </c>
      <c r="E5" s="16">
        <f>0</f>
        <v/>
      </c>
      <c r="F5" s="16" t="n">
        <v>0</v>
      </c>
      <c r="G5" s="16">
        <f>D5+E5+F5</f>
        <v/>
      </c>
      <c r="H5" s="12" t="inlineStr">
        <is>
          <t>receipt_photo_02.jpg</t>
        </is>
      </c>
    </row>
    <row r="6">
      <c r="A6" s="12" t="inlineStr">
        <is>
          <t>R-003</t>
        </is>
      </c>
      <c r="B6" s="12" t="inlineStr">
        <is>
          <t>Stationery Works</t>
        </is>
      </c>
      <c r="C6" s="12" t="inlineStr">
        <is>
          <t>2026-06-14</t>
        </is>
      </c>
      <c r="D6" s="16">
        <f>'Items'!D7+'Items'!D8</f>
        <v/>
      </c>
      <c r="E6" s="16">
        <f>D6*0.0825</f>
        <v/>
      </c>
      <c r="F6" s="16" t="n">
        <v>0</v>
      </c>
      <c r="G6" s="16">
        <f>D6+E6+F6</f>
        <v/>
      </c>
      <c r="H6" s="12" t="inlineStr">
        <is>
          <t>receipt_photo_03.jpg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7" customWidth="1" min="5" max="5"/>
    <col width="25" customWidth="1" min="6" max="6"/>
    <col width="38" customWidth="1" min="7" max="7"/>
  </cols>
  <sheetData>
    <row r="1" ht="26" customHeight="1">
      <c r="A1" s="14" t="inlineStr">
        <is>
          <t>Receipt Item Extraction</t>
        </is>
      </c>
    </row>
    <row r="2">
      <c r="A2" s="15" t="n"/>
      <c r="B2" s="15" t="n"/>
      <c r="C2" s="15" t="n"/>
      <c r="D2" s="15" t="n"/>
      <c r="E2" s="15" t="n"/>
      <c r="F2" s="15" t="n"/>
      <c r="G2" s="15" t="n"/>
    </row>
    <row r="3">
      <c r="A3" s="9" t="inlineStr">
        <is>
          <t>Document ID</t>
        </is>
      </c>
      <c r="B3" s="9" t="inlineStr">
        <is>
          <t>Item</t>
        </is>
      </c>
      <c r="C3" s="9" t="inlineStr">
        <is>
          <t>Modifier</t>
        </is>
      </c>
      <c r="D3" s="9" t="inlineStr">
        <is>
          <t>Amount</t>
        </is>
      </c>
      <c r="E3" s="9" t="inlineStr">
        <is>
          <t>Category</t>
        </is>
      </c>
      <c r="F3" s="9" t="inlineStr">
        <is>
          <t>Source file</t>
        </is>
      </c>
      <c r="G3" s="9" t="inlineStr">
        <is>
          <t>Text locator</t>
        </is>
      </c>
    </row>
    <row r="4">
      <c r="A4" s="12" t="inlineStr">
        <is>
          <t>R-001</t>
        </is>
      </c>
      <c r="B4" s="12" t="inlineStr">
        <is>
          <t>Iced coffee</t>
        </is>
      </c>
      <c r="C4" s="12" t="inlineStr">
        <is>
          <t>none</t>
        </is>
      </c>
      <c r="D4" s="16" t="n">
        <v>5.2</v>
      </c>
      <c r="E4" s="12" t="inlineStr">
        <is>
          <t>Meals</t>
        </is>
      </c>
      <c r="F4" s="12" t="inlineStr">
        <is>
          <t>receipt_photo_01.jpg</t>
        </is>
      </c>
      <c r="G4" s="12" t="inlineStr">
        <is>
          <t>receipt_photo_01.jpg:line-1</t>
        </is>
      </c>
    </row>
    <row r="5">
      <c r="A5" s="12" t="inlineStr">
        <is>
          <t>R-001</t>
        </is>
      </c>
      <c r="B5" s="12" t="inlineStr">
        <is>
          <t>Sandwich</t>
        </is>
      </c>
      <c r="C5" s="12" t="inlineStr">
        <is>
          <t>none</t>
        </is>
      </c>
      <c r="D5" s="16" t="n">
        <v>10.8</v>
      </c>
      <c r="E5" s="12" t="inlineStr">
        <is>
          <t>Meals</t>
        </is>
      </c>
      <c r="F5" s="12" t="inlineStr">
        <is>
          <t>receipt_photo_01.jpg</t>
        </is>
      </c>
      <c r="G5" s="12" t="inlineStr">
        <is>
          <t>receipt_photo_01.jpg:line-2</t>
        </is>
      </c>
    </row>
    <row r="6">
      <c r="A6" s="12" t="inlineStr">
        <is>
          <t>R-002</t>
        </is>
      </c>
      <c r="B6" s="12" t="inlineStr">
        <is>
          <t>Parking</t>
        </is>
      </c>
      <c r="C6" s="12" t="inlineStr">
        <is>
          <t>none</t>
        </is>
      </c>
      <c r="D6" s="16" t="n">
        <v>24</v>
      </c>
      <c r="E6" s="12" t="inlineStr">
        <is>
          <t>Travel</t>
        </is>
      </c>
      <c r="F6" s="12" t="inlineStr">
        <is>
          <t>receipt_photo_02.jpg</t>
        </is>
      </c>
      <c r="G6" s="12" t="inlineStr">
        <is>
          <t>receipt_photo_02.jpg:line-1</t>
        </is>
      </c>
    </row>
    <row r="7">
      <c r="A7" s="12" t="inlineStr">
        <is>
          <t>R-003</t>
        </is>
      </c>
      <c r="B7" s="12" t="inlineStr">
        <is>
          <t>Markers</t>
        </is>
      </c>
      <c r="C7" s="12" t="inlineStr">
        <is>
          <t>none</t>
        </is>
      </c>
      <c r="D7" s="16" t="n">
        <v>18.6</v>
      </c>
      <c r="E7" s="12" t="inlineStr">
        <is>
          <t>Office</t>
        </is>
      </c>
      <c r="F7" s="12" t="inlineStr">
        <is>
          <t>receipt_photo_03.jpg</t>
        </is>
      </c>
      <c r="G7" s="12" t="inlineStr">
        <is>
          <t>receipt_photo_03.jpg:line-1</t>
        </is>
      </c>
    </row>
    <row r="8">
      <c r="A8" s="12" t="inlineStr">
        <is>
          <t>R-003</t>
        </is>
      </c>
      <c r="B8" s="12" t="inlineStr">
        <is>
          <t>Folders</t>
        </is>
      </c>
      <c r="C8" s="12" t="inlineStr">
        <is>
          <t>none</t>
        </is>
      </c>
      <c r="D8" s="16" t="n">
        <v>12</v>
      </c>
      <c r="E8" s="12" t="inlineStr">
        <is>
          <t>Office</t>
        </is>
      </c>
      <c r="F8" s="12" t="inlineStr">
        <is>
          <t>receipt_photo_03.jpg</t>
        </is>
      </c>
      <c r="G8" s="12" t="inlineStr">
        <is>
          <t>receipt_photo_03.jpg:line-2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7" customWidth="1" min="3" max="3"/>
    <col width="34" customWidth="1" min="4" max="4"/>
  </cols>
  <sheetData>
    <row r="1" ht="26" customHeight="1">
      <c r="A1" s="14" t="inlineStr">
        <is>
          <t>Expense Category Summary</t>
        </is>
      </c>
    </row>
    <row r="2">
      <c r="A2" s="15" t="n"/>
      <c r="B2" s="15" t="n"/>
      <c r="C2" s="15" t="n"/>
      <c r="D2" s="15" t="n"/>
    </row>
    <row r="3">
      <c r="A3" s="9" t="inlineStr">
        <is>
          <t>Category</t>
        </is>
      </c>
      <c r="B3" s="9" t="inlineStr">
        <is>
          <t>Amount</t>
        </is>
      </c>
      <c r="C3" s="9" t="inlineStr">
        <is>
          <t>Documents</t>
        </is>
      </c>
      <c r="D3" s="9" t="inlineStr">
        <is>
          <t>Basis</t>
        </is>
      </c>
    </row>
    <row r="4">
      <c r="A4" s="12" t="inlineStr">
        <is>
          <t>Meals</t>
        </is>
      </c>
      <c r="B4" s="16">
        <f>'Documents'!G4</f>
        <v/>
      </c>
      <c r="C4" s="12" t="inlineStr">
        <is>
          <t>R-001</t>
        </is>
      </c>
      <c r="D4" s="12" t="inlineStr">
        <is>
          <t>Receipt items plus tax/tip</t>
        </is>
      </c>
    </row>
    <row r="5">
      <c r="A5" s="12" t="inlineStr">
        <is>
          <t>Travel</t>
        </is>
      </c>
      <c r="B5" s="16">
        <f>'Documents'!G5</f>
        <v/>
      </c>
      <c r="C5" s="12" t="inlineStr">
        <is>
          <t>R-002</t>
        </is>
      </c>
      <c r="D5" s="12" t="inlineStr">
        <is>
          <t>Receipt total</t>
        </is>
      </c>
    </row>
    <row r="6">
      <c r="A6" s="12" t="inlineStr">
        <is>
          <t>Office</t>
        </is>
      </c>
      <c r="B6" s="16">
        <f>'Documents'!G6</f>
        <v/>
      </c>
      <c r="C6" s="12" t="inlineStr">
        <is>
          <t>R-003</t>
        </is>
      </c>
      <c r="D6" s="12" t="inlineStr">
        <is>
          <t>Receipt items plus tax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34" customWidth="1" min="3" max="3"/>
  </cols>
  <sheetData>
    <row r="1" ht="26" customHeight="1">
      <c r="A1" s="14" t="inlineStr">
        <is>
          <t>Receipt Exceptions</t>
        </is>
      </c>
    </row>
    <row r="2">
      <c r="A2" s="15" t="n"/>
      <c r="B2" s="15" t="n"/>
      <c r="C2" s="15" t="n"/>
    </row>
    <row r="3">
      <c r="A3" s="9" t="inlineStr">
        <is>
          <t>Status</t>
        </is>
      </c>
      <c r="B3" s="9" t="inlineStr">
        <is>
          <t>Count</t>
        </is>
      </c>
      <c r="C3" s="9" t="inlineStr">
        <is>
          <t>Explanation</t>
        </is>
      </c>
    </row>
    <row r="4">
      <c r="A4" s="12" t="inlineStr">
        <is>
          <t>No unresolved extraction exceptions</t>
        </is>
      </c>
      <c r="B4" s="12" t="n">
        <v>0</v>
      </c>
      <c r="C4" s="12" t="inlineStr">
        <is>
          <t>All receipt totals reconcile</t>
        </is>
      </c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24" customWidth="1" min="3" max="3"/>
    <col width="39" customWidth="1" min="4" max="4"/>
    <col width="17" customWidth="1" min="5" max="5"/>
  </cols>
  <sheetData>
    <row r="1" ht="26" customHeight="1">
      <c r="A1" s="14" t="inlineStr">
        <is>
          <t>Receipt Source Traceability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Document ID</t>
        </is>
      </c>
      <c r="B3" s="9" t="inlineStr">
        <is>
          <t>Item</t>
        </is>
      </c>
      <c r="C3" s="9" t="inlineStr">
        <is>
          <t>Source file</t>
        </is>
      </c>
      <c r="D3" s="9" t="inlineStr">
        <is>
          <t>Text locator</t>
        </is>
      </c>
      <c r="E3" s="9" t="inlineStr">
        <is>
          <t>Target row</t>
        </is>
      </c>
    </row>
    <row r="4">
      <c r="A4" s="12" t="inlineStr">
        <is>
          <t>R-001</t>
        </is>
      </c>
      <c r="B4" s="12" t="inlineStr">
        <is>
          <t>Iced coffee</t>
        </is>
      </c>
      <c r="C4" s="12" t="inlineStr">
        <is>
          <t>receipt_photo_01.jpg</t>
        </is>
      </c>
      <c r="D4" s="12" t="inlineStr">
        <is>
          <t>receipt_photo_01.jpg:line-1</t>
        </is>
      </c>
      <c r="E4" s="12" t="inlineStr">
        <is>
          <t>Items!4</t>
        </is>
      </c>
    </row>
    <row r="5">
      <c r="A5" s="12" t="inlineStr">
        <is>
          <t>R-001</t>
        </is>
      </c>
      <c r="B5" s="12" t="inlineStr">
        <is>
          <t>Sandwich</t>
        </is>
      </c>
      <c r="C5" s="12" t="inlineStr">
        <is>
          <t>receipt_photo_01.jpg</t>
        </is>
      </c>
      <c r="D5" s="12" t="inlineStr">
        <is>
          <t>receipt_photo_01.jpg:line-2</t>
        </is>
      </c>
      <c r="E5" s="12" t="inlineStr">
        <is>
          <t>Items!5</t>
        </is>
      </c>
    </row>
    <row r="6">
      <c r="A6" s="12" t="inlineStr">
        <is>
          <t>R-002</t>
        </is>
      </c>
      <c r="B6" s="12" t="inlineStr">
        <is>
          <t>Parking</t>
        </is>
      </c>
      <c r="C6" s="12" t="inlineStr">
        <is>
          <t>receipt_photo_02.jpg</t>
        </is>
      </c>
      <c r="D6" s="12" t="inlineStr">
        <is>
          <t>receipt_photo_02.jpg:line-1</t>
        </is>
      </c>
      <c r="E6" s="12" t="inlineStr">
        <is>
          <t>Items!6</t>
        </is>
      </c>
    </row>
    <row r="7">
      <c r="A7" s="12" t="inlineStr">
        <is>
          <t>R-003</t>
        </is>
      </c>
      <c r="B7" s="12" t="inlineStr">
        <is>
          <t>Markers</t>
        </is>
      </c>
      <c r="C7" s="12" t="inlineStr">
        <is>
          <t>receipt_photo_03.jpg</t>
        </is>
      </c>
      <c r="D7" s="12" t="inlineStr">
        <is>
          <t>receipt_photo_03.jpg:line-1</t>
        </is>
      </c>
      <c r="E7" s="12" t="inlineStr">
        <is>
          <t>Items!7</t>
        </is>
      </c>
    </row>
    <row r="8">
      <c r="A8" s="12" t="inlineStr">
        <is>
          <t>R-003</t>
        </is>
      </c>
      <c r="B8" s="12" t="inlineStr">
        <is>
          <t>Folders</t>
        </is>
      </c>
      <c r="C8" s="12" t="inlineStr">
        <is>
          <t>receipt_photo_03.jpg</t>
        </is>
      </c>
      <c r="D8" s="12" t="inlineStr">
        <is>
          <t>receipt_photo_03.jpg:line-2</t>
        </is>
      </c>
      <c r="E8" s="12" t="inlineStr">
        <is>
          <t>Items!8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  <col width="40" customWidth="1" min="4" max="4"/>
  </cols>
  <sheetData>
    <row r="1" ht="26" customHeight="1">
      <c r="A1" s="14" t="inlineStr">
        <is>
          <t>Expense Batch Reconciliation</t>
        </is>
      </c>
    </row>
    <row r="2">
      <c r="A2" s="15" t="n"/>
      <c r="B2" s="15" t="n"/>
      <c r="C2" s="15" t="n"/>
      <c r="D2" s="15" t="n"/>
    </row>
    <row r="3">
      <c r="A3" s="9" t="inlineStr">
        <is>
          <t>Metric</t>
        </is>
      </c>
      <c r="B3" s="9" t="inlineStr">
        <is>
          <t>Value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s="12" t="inlineStr">
        <is>
          <t>Receipt count</t>
        </is>
      </c>
      <c r="B4" s="12">
        <f>1+1+1</f>
        <v/>
      </c>
      <c r="C4" s="12" t="n">
        <v>3</v>
      </c>
      <c r="D4" s="12" t="inlineStr">
        <is>
          <t>Three source images</t>
        </is>
      </c>
    </row>
    <row r="5">
      <c r="A5" s="12" t="inlineStr">
        <is>
          <t>Item count</t>
        </is>
      </c>
      <c r="B5" s="12">
        <f>1+1+1+1+1</f>
        <v/>
      </c>
      <c r="C5" s="12" t="n">
        <v>5</v>
      </c>
      <c r="D5" s="12" t="inlineStr">
        <is>
          <t>All line items retained</t>
        </is>
      </c>
    </row>
    <row r="6">
      <c r="A6" s="12" t="inlineStr">
        <is>
          <t>Batch total</t>
        </is>
      </c>
      <c r="B6" s="16">
        <f>SUM('Documents'!G4:G6)</f>
        <v/>
      </c>
      <c r="C6" s="16" t="n">
        <v>77.44</v>
      </c>
      <c r="D6" s="12" t="inlineStr">
        <is>
          <t>Documents total to submitted expense batch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2026-09-04T02:56:44Z</dcterms:created>
  <dcterms:modified xmlns:dcterms="http://purl.org/dc/terms/" xmlns:xsi="http://www.w3.org/2001/XMLSchema-instance" xsi:type="dcterms:W3CDTF">2026-09-04T02:56:44Z</dcterms:modified>
</cp:coreProperties>
</file>