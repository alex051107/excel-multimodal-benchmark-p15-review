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55e69244640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s" sheetId="1" r:id="Rf91ecf5c4d554478"/>
    <x:sheet xmlns:r="http://schemas.openxmlformats.org/officeDocument/2006/relationships" name="Items" sheetId="2" r:id="R9de4ba064b274f36"/>
    <x:sheet xmlns:r="http://schemas.openxmlformats.org/officeDocument/2006/relationships" name="Categories" sheetId="3" r:id="R85a4000a89bc474e"/>
    <x:sheet xmlns:r="http://schemas.openxmlformats.org/officeDocument/2006/relationships" name="Exceptions" sheetId="4" r:id="R95c1413548d74176"/>
    <x:sheet xmlns:r="http://schemas.openxmlformats.org/officeDocument/2006/relationships" name="Provenance" sheetId="5" r:id="Rd34942adb25e4413"/>
    <x:sheet xmlns:r="http://schemas.openxmlformats.org/officeDocument/2006/relationships" name="Reconciliation" sheetId="6" r:id="Rb2f9df95a32746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5239d71bd0465d" /><Relationship Type="http://schemas.openxmlformats.org/officeDocument/2006/relationships/theme" Target="/xl/theme/theme1.xml" Id="R0a9a6f207eda4e76" /><Relationship Type="http://schemas.openxmlformats.org/officeDocument/2006/relationships/sharedStrings" Target="/xl/sharedStrings.xml" Id="R88075876dd05417d" /><Relationship Type="http://schemas.openxmlformats.org/officeDocument/2006/relationships/worksheet" Target="/xl/worksheets/sheet1.xml" Id="Rf91ecf5c4d554478" /><Relationship Type="http://schemas.openxmlformats.org/officeDocument/2006/relationships/worksheet" Target="/xl/worksheets/sheet2.xml" Id="R9de4ba064b274f36" /><Relationship Type="http://schemas.openxmlformats.org/officeDocument/2006/relationships/worksheet" Target="/xl/worksheets/sheet3.xml" Id="R85a4000a89bc474e" /><Relationship Type="http://schemas.openxmlformats.org/officeDocument/2006/relationships/worksheet" Target="/xl/worksheets/sheet4.xml" Id="R95c1413548d74176" /><Relationship Type="http://schemas.openxmlformats.org/officeDocument/2006/relationships/worksheet" Target="/xl/worksheets/sheet5.xml" Id="Rd34942adb25e4413" /><Relationship Type="http://schemas.openxmlformats.org/officeDocument/2006/relationships/worksheet" Target="/xl/worksheets/sheet6.xml" Id="Rb2f9df95a32746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17" hidden="0" customWidth="1"/>
    <x:col min="4" max="4" width="17" hidden="0" customWidth="1"/>
    <x:col min="5" max="5" width="16" hidden="0" customWidth="1"/>
    <x:col min="6" max="6" width="14" hidden="0" customWidth="1"/>
    <x:col min="7" max="7" width="17" hidden="0" customWidth="1"/>
    <x:col min="8" max="8" width="25" hidden="0" customWidth="1"/>
  </x:cols>
  <x:sheetData>
    <x:row r="1" ht="26" customHeight="1">
      <x:c r="A1" s="14" t="str">
        <x:v>Receipt Document Register</x:v>
      </x:c>
      <x:c r="B1" s="14"/>
      <x:c r="C1" s="14"/>
      <x:c r="D1" s="14"/>
      <x:c r="E1" s="14"/>
      <x:c r="F1" s="14"/>
      <x:c r="G1" s="14"/>
      <x:c r="H1" s="1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9" t="str">
        <x:v>Document ID</x:v>
      </x:c>
      <x:c r="B3" s="9" t="str">
        <x:v>Merchant</x:v>
      </x:c>
      <x:c r="C3" s="9" t="str">
        <x:v>Date</x:v>
      </x:c>
      <x:c r="D3" s="9" t="str">
        <x:v>Subtotal</x:v>
      </x:c>
      <x:c r="E3" s="9" t="str">
        <x:v>Tax</x:v>
      </x:c>
      <x:c r="F3" s="9" t="str">
        <x:v>Tip</x:v>
      </x:c>
      <x:c r="G3" s="9" t="str">
        <x:v>Total</x:v>
      </x:c>
      <x:c r="H3" s="9" t="str">
        <x:v>Source file</x:v>
      </x:c>
    </x:row>
    <x:row r="4">
      <x:c r="A4" s="12" t="str">
        <x:v>R-003</x:v>
      </x:c>
      <x:c r="B4" s="12" t="str">
        <x:v>Stationery Works</x:v>
      </x:c>
      <x:c r="C4" s="12" t="str">
        <x:v>2026-06-14</x:v>
      </x:c>
      <x:c r="D4" s="13" t="n">
        <x:f>'Items'!D5+'Items'!D7</x:f>
        <x:v>30.6</x:v>
      </x:c>
      <x:c r="E4" s="13" t="n">
        <x:f>D4*0.0825</x:f>
        <x:v>2.5245</x:v>
      </x:c>
      <x:c r="F4" s="13" t="n">
        <x:v>0</x:v>
      </x:c>
      <x:c r="G4" s="13" t="n">
        <x:f>SUM(D4:F4)</x:f>
        <x:v>33.124500000000005</x:v>
      </x:c>
      <x:c r="H4" s="12" t="str">
        <x:v>receipt_photo_03.jpg</x:v>
      </x:c>
    </x:row>
    <x:row r="5">
      <x:c r="A5" s="12" t="str">
        <x:v>R-001</x:v>
      </x:c>
      <x:c r="B5" s="12" t="str">
        <x:v>Cedar Cafe</x:v>
      </x:c>
      <x:c r="C5" s="12" t="str">
        <x:v>2026-06-03</x:v>
      </x:c>
      <x:c r="D5" s="13" t="n">
        <x:f>'Items'!D6+'Items'!D8</x:f>
        <x:v>16</x:v>
      </x:c>
      <x:c r="E5" s="13" t="n">
        <x:f>D5*0.0825</x:f>
        <x:v>1.32</x:v>
      </x:c>
      <x:c r="F5" s="13" t="n">
        <x:v>3</x:v>
      </x:c>
      <x:c r="G5" s="13" t="n">
        <x:f>SUM(D5:F5)</x:f>
        <x:v>20.32</x:v>
      </x:c>
      <x:c r="H5" s="12" t="str">
        <x:v>receipt_photo_01.jpg</x:v>
      </x:c>
    </x:row>
    <x:row r="6">
      <x:c r="A6" s="12" t="str">
        <x:v>R-002</x:v>
      </x:c>
      <x:c r="B6" s="12" t="str">
        <x:v>Central Parking</x:v>
      </x:c>
      <x:c r="C6" s="12" t="str">
        <x:v>2026-06-07</x:v>
      </x:c>
      <x:c r="D6" s="13" t="n">
        <x:f>'Items'!D4</x:f>
        <x:v>24</x:v>
      </x:c>
      <x:c r="E6" s="13" t="n">
        <x:f>0</x:f>
        <x:v>0</x:v>
      </x:c>
      <x:c r="F6" s="13" t="n">
        <x:v>0</x:v>
      </x:c>
      <x:c r="G6" s="13" t="n">
        <x:f>SUM(D6:F6)</x:f>
        <x:v>24</x:v>
      </x:c>
      <x:c r="H6" s="12" t="str">
        <x:v>receipt_photo_02.jpg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16" hidden="0" customWidth="1"/>
    <x:col min="5" max="5" width="17" hidden="0" customWidth="1"/>
    <x:col min="6" max="6" width="25" hidden="0" customWidth="1"/>
    <x:col min="7" max="7" width="38" hidden="0" customWidth="1"/>
  </x:cols>
  <x:sheetData>
    <x:row r="1" ht="26" customHeight="1">
      <x:c r="A1" s="14" t="str">
        <x:v>Receipt Item Extraction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Document ID</x:v>
      </x:c>
      <x:c r="B3" s="9" t="str">
        <x:v>Item</x:v>
      </x:c>
      <x:c r="C3" s="9" t="str">
        <x:v>Modifier</x:v>
      </x:c>
      <x:c r="D3" s="9" t="str">
        <x:v>Amount</x:v>
      </x:c>
      <x:c r="E3" s="9" t="str">
        <x:v>Category</x:v>
      </x:c>
      <x:c r="F3" s="9" t="str">
        <x:v>Source file</x:v>
      </x:c>
      <x:c r="G3" s="9" t="str">
        <x:v>Text locator</x:v>
      </x:c>
    </x:row>
    <x:row r="4">
      <x:c r="A4" s="12" t="str">
        <x:v>R-002</x:v>
      </x:c>
      <x:c r="B4" s="12" t="str">
        <x:v>Parking</x:v>
      </x:c>
      <x:c r="C4" s="12" t="str">
        <x:v>none</x:v>
      </x:c>
      <x:c r="D4" s="13" t="n">
        <x:v>24</x:v>
      </x:c>
      <x:c r="E4" s="12" t="str">
        <x:v>Travel</x:v>
      </x:c>
      <x:c r="F4" s="12" t="str">
        <x:v>receipt_photo_02.jpg</x:v>
      </x:c>
      <x:c r="G4" s="12" t="str">
        <x:v>receipt_photo_02.jpg:line-1</x:v>
      </x:c>
    </x:row>
    <x:row r="5">
      <x:c r="A5" s="12" t="str">
        <x:v>R-003</x:v>
      </x:c>
      <x:c r="B5" s="12" t="str">
        <x:v>Folders</x:v>
      </x:c>
      <x:c r="C5" s="12" t="str">
        <x:v>none</x:v>
      </x:c>
      <x:c r="D5" s="13" t="n">
        <x:v>12</x:v>
      </x:c>
      <x:c r="E5" s="12" t="str">
        <x:v>Office</x:v>
      </x:c>
      <x:c r="F5" s="12" t="str">
        <x:v>receipt_photo_03.jpg</x:v>
      </x:c>
      <x:c r="G5" s="12" t="str">
        <x:v>receipt_photo_03.jpg:line-2</x:v>
      </x:c>
    </x:row>
    <x:row r="6">
      <x:c r="A6" s="12" t="str">
        <x:v>R-001</x:v>
      </x:c>
      <x:c r="B6" s="12" t="str">
        <x:v>Sandwich</x:v>
      </x:c>
      <x:c r="C6" s="12" t="str">
        <x:v>none</x:v>
      </x:c>
      <x:c r="D6" s="13" t="n">
        <x:v>10.8</x:v>
      </x:c>
      <x:c r="E6" s="12" t="str">
        <x:v>Meals</x:v>
      </x:c>
      <x:c r="F6" s="12" t="str">
        <x:v>receipt_photo_01.jpg</x:v>
      </x:c>
      <x:c r="G6" s="12" t="str">
        <x:v>receipt_photo_01.jpg:line-2</x:v>
      </x:c>
    </x:row>
    <x:row r="7">
      <x:c r="A7" s="12" t="str">
        <x:v>R-003</x:v>
      </x:c>
      <x:c r="B7" s="12" t="str">
        <x:v>Markers</x:v>
      </x:c>
      <x:c r="C7" s="12" t="str">
        <x:v>none</x:v>
      </x:c>
      <x:c r="D7" s="13" t="n">
        <x:v>18.6</x:v>
      </x:c>
      <x:c r="E7" s="12" t="str">
        <x:v>Office</x:v>
      </x:c>
      <x:c r="F7" s="12" t="str">
        <x:v>receipt_photo_03.jpg</x:v>
      </x:c>
      <x:c r="G7" s="12" t="str">
        <x:v>receipt_photo_03.jpg:line-1</x:v>
      </x:c>
    </x:row>
    <x:row r="8">
      <x:c r="A8" s="12" t="str">
        <x:v>R-001</x:v>
      </x:c>
      <x:c r="B8" s="12" t="str">
        <x:v>Iced coffee</x:v>
      </x:c>
      <x:c r="C8" s="12" t="str">
        <x:v>none</x:v>
      </x:c>
      <x:c r="D8" s="13" t="n">
        <x:v>5.2</x:v>
      </x:c>
      <x:c r="E8" s="12" t="str">
        <x:v>Meals</x:v>
      </x:c>
      <x:c r="F8" s="12" t="str">
        <x:v>receipt_photo_01.jpg</x:v>
      </x:c>
      <x:c r="G8" s="12" t="str">
        <x:v>receipt_photo_01.jpg:line-1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7" hidden="0" customWidth="1"/>
    <x:col min="4" max="4" width="34" hidden="0" customWidth="1"/>
  </x:cols>
  <x:sheetData>
    <x:row r="1" ht="26" customHeight="1">
      <x:c r="A1" s="14" t="str">
        <x:v>Expense Category Summary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Category</x:v>
      </x:c>
      <x:c r="B3" s="9" t="str">
        <x:v>Amount</x:v>
      </x:c>
      <x:c r="C3" s="9" t="str">
        <x:v>Documents</x:v>
      </x:c>
      <x:c r="D3" s="9" t="str">
        <x:v>Basis</x:v>
      </x:c>
    </x:row>
    <x:row r="4">
      <x:c r="A4" s="12" t="str">
        <x:v>Office</x:v>
      </x:c>
      <x:c r="B4" s="13" t="n">
        <x:f>'Documents'!G4</x:f>
        <x:v>33.124500000000005</x:v>
      </x:c>
      <x:c r="C4" s="12" t="str">
        <x:v>R-003</x:v>
      </x:c>
      <x:c r="D4" s="12" t="str">
        <x:v>Receipt items plus tax</x:v>
      </x:c>
    </x:row>
    <x:row r="5">
      <x:c r="A5" s="12" t="str">
        <x:v>Meals</x:v>
      </x:c>
      <x:c r="B5" s="13" t="n">
        <x:f>'Documents'!G5</x:f>
        <x:v>20.32</x:v>
      </x:c>
      <x:c r="C5" s="12" t="str">
        <x:v>R-001</x:v>
      </x:c>
      <x:c r="D5" s="12" t="str">
        <x:v>Receipt items plus tax/tip</x:v>
      </x:c>
    </x:row>
    <x:row r="6">
      <x:c r="A6" s="12" t="str">
        <x:v>Travel</x:v>
      </x:c>
      <x:c r="B6" s="13" t="n">
        <x:f>'Documents'!G6</x:f>
        <x:v>24</x:v>
      </x:c>
      <x:c r="C6" s="12" t="str">
        <x:v>R-002</x:v>
      </x:c>
      <x:c r="D6" s="12" t="str">
        <x:v>Receipt total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34" hidden="0" customWidth="1"/>
  </x:cols>
  <x:sheetData>
    <x:row r="1" ht="26" customHeight="1">
      <x:c r="A1" s="14" t="str">
        <x:v>Receipt Exceptions</x:v>
      </x:c>
      <x:c r="B1" s="14"/>
      <x:c r="C1" s="14"/>
    </x:row>
    <x:row r="2">
      <x:c r="A2" s="15"/>
      <x:c r="B2" s="15"/>
      <x:c r="C2" s="15"/>
    </x:row>
    <x:row r="3">
      <x:c r="A3" s="9" t="str">
        <x:v>Status</x:v>
      </x:c>
      <x:c r="B3" s="9" t="str">
        <x:v>Count</x:v>
      </x:c>
      <x:c r="C3" s="9" t="str">
        <x:v>Explanation</x:v>
      </x:c>
    </x:row>
    <x:row r="4">
      <x:c r="A4" s="12" t="str">
        <x:v>No unresolved extraction exceptions</x:v>
      </x:c>
      <x:c r="B4" s="12" t="n">
        <x:v>0</x:v>
      </x:c>
      <x:c r="C4" s="12" t="str">
        <x:v>All receipt totals reconcile</x:v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7" hidden="0" customWidth="1"/>
    <x:col min="3" max="3" width="24" hidden="0" customWidth="1"/>
    <x:col min="4" max="4" width="39" hidden="0" customWidth="1"/>
    <x:col min="5" max="5" width="17" hidden="0" customWidth="1"/>
  </x:cols>
  <x:sheetData>
    <x:row r="1" ht="26" customHeight="1">
      <x:c r="A1" s="14" t="str">
        <x:v>Receipt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Document ID</x:v>
      </x:c>
      <x:c r="B3" s="9" t="str">
        <x:v>Item</x:v>
      </x:c>
      <x:c r="C3" s="9" t="str">
        <x:v>Source file</x:v>
      </x:c>
      <x:c r="D3" s="9" t="str">
        <x:v>Text locator</x:v>
      </x:c>
      <x:c r="E3" s="9" t="str">
        <x:v>Target row</x:v>
      </x:c>
    </x:row>
    <x:row r="4">
      <x:c r="A4" s="12" t="str">
        <x:v>R-003</x:v>
      </x:c>
      <x:c r="B4" s="12" t="str">
        <x:v>Markers</x:v>
      </x:c>
      <x:c r="C4" s="12" t="str">
        <x:v>receipt_photo_03.jpg</x:v>
      </x:c>
      <x:c r="D4" s="12" t="str">
        <x:v>receipt_photo_03.jpg:line-1</x:v>
      </x:c>
      <x:c r="E4" s="12" t="str">
        <x:v>Items!7</x:v>
      </x:c>
    </x:row>
    <x:row r="5">
      <x:c r="A5" s="12" t="str">
        <x:v>R-001</x:v>
      </x:c>
      <x:c r="B5" s="12" t="str">
        <x:v>Iced coffee</x:v>
      </x:c>
      <x:c r="C5" s="12" t="str">
        <x:v>receipt_photo_01.jpg</x:v>
      </x:c>
      <x:c r="D5" s="12" t="str">
        <x:v>receipt_photo_01.jpg:line-1</x:v>
      </x:c>
      <x:c r="E5" s="12" t="str">
        <x:v>Items!8</x:v>
      </x:c>
    </x:row>
    <x:row r="6">
      <x:c r="A6" s="12" t="str">
        <x:v>R-002</x:v>
      </x:c>
      <x:c r="B6" s="12" t="str">
        <x:v>Parking</x:v>
      </x:c>
      <x:c r="C6" s="12" t="str">
        <x:v>receipt_photo_02.jpg</x:v>
      </x:c>
      <x:c r="D6" s="12" t="str">
        <x:v>receipt_photo_02.jpg:line-1</x:v>
      </x:c>
      <x:c r="E6" s="12" t="str">
        <x:v>Items!4</x:v>
      </x:c>
    </x:row>
    <x:row r="7">
      <x:c r="A7" s="12" t="str">
        <x:v>R-001</x:v>
      </x:c>
      <x:c r="B7" s="12" t="str">
        <x:v>Sandwich</x:v>
      </x:c>
      <x:c r="C7" s="12" t="str">
        <x:v>receipt_photo_01.jpg</x:v>
      </x:c>
      <x:c r="D7" s="12" t="str">
        <x:v>receipt_photo_01.jpg:line-2</x:v>
      </x:c>
      <x:c r="E7" s="12" t="str">
        <x:v>Items!6</x:v>
      </x:c>
    </x:row>
    <x:row r="8">
      <x:c r="A8" s="12" t="str">
        <x:v>R-003</x:v>
      </x:c>
      <x:c r="B8" s="12" t="str">
        <x:v>Folders</x:v>
      </x:c>
      <x:c r="C8" s="12" t="str">
        <x:v>receipt_photo_03.jpg</x:v>
      </x:c>
      <x:c r="D8" s="12" t="str">
        <x:v>receipt_photo_03.jpg:line-2</x:v>
      </x:c>
      <x:c r="E8" s="12" t="str">
        <x:v>Items!5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0" hidden="0" customWidth="1"/>
    <x:col min="3" max="3" width="20" hidden="0" customWidth="1"/>
    <x:col min="4" max="4" width="40" hidden="0" customWidth="1"/>
  </x:cols>
  <x:sheetData>
    <x:row r="1" ht="26" customHeight="1">
      <x:c r="A1" s="14" t="str">
        <x:v>Expense Batch Reconciliation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Metric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Receipt count</x:v>
      </x:c>
      <x:c r="B4" s="12" t="n">
        <x:f>1+1+1</x:f>
        <x:v>3</x:v>
      </x:c>
      <x:c r="C4" s="12" t="n">
        <x:v>3</x:v>
      </x:c>
      <x:c r="D4" s="12" t="str">
        <x:v>Three source images</x:v>
      </x:c>
    </x:row>
    <x:row r="5">
      <x:c r="A5" s="12" t="str">
        <x:v>Item count</x:v>
      </x:c>
      <x:c r="B5" s="12" t="n">
        <x:f>1+1+1+1+1</x:f>
        <x:v>5</x:v>
      </x:c>
      <x:c r="C5" s="12" t="n">
        <x:v>5</x:v>
      </x:c>
      <x:c r="D5" s="12" t="str">
        <x:v>All line items retained</x:v>
      </x:c>
    </x:row>
    <x:row r="6">
      <x:c r="A6" s="12" t="str">
        <x:v>Batch total</x:v>
      </x:c>
      <x:c r="B6" s="13" t="n">
        <x:f>'Documents'!G4+'Documents'!G5+'Documents'!G6</x:f>
        <x:v>77.4445</x:v>
      </x:c>
      <x:c r="C6" s="13" t="n">
        <x:v>77.44</x:v>
      </x:c>
      <x:c r="D6" s="12" t="str">
        <x:v>Documents total to submitted expense batch</x:v>
      </x:c>
    </x:row>
  </x:sheetData>
  <x:mergeCells>
    <x:mergeCell ref="A1:D1"/>
  </x:mergeCells>
  <x:pageMargins left="0.7" right="0.7" top="0.75" bottom="0.75" header="0.3" footer="0.3"/>
</x:worksheet>
</file>