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eb61cecb7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0929cbad12b842b5"/>
    <x:sheet xmlns:r="http://schemas.openxmlformats.org/officeDocument/2006/relationships" name="Items" sheetId="2" r:id="R2a14b8a6bf4941ac"/>
    <x:sheet xmlns:r="http://schemas.openxmlformats.org/officeDocument/2006/relationships" name="Categories" sheetId="3" r:id="Rdad953a082634629"/>
    <x:sheet xmlns:r="http://schemas.openxmlformats.org/officeDocument/2006/relationships" name="Exceptions" sheetId="4" r:id="R07b79031f5b449df"/>
    <x:sheet xmlns:r="http://schemas.openxmlformats.org/officeDocument/2006/relationships" name="Provenance" sheetId="5" r:id="R5d4b6822b3d44d7c"/>
    <x:sheet xmlns:r="http://schemas.openxmlformats.org/officeDocument/2006/relationships" name="Reconciliation" sheetId="6" r:id="Rd218ba452440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6a2ee073c42f5" /><Relationship Type="http://schemas.openxmlformats.org/officeDocument/2006/relationships/theme" Target="/xl/theme/theme1.xml" Id="Re19f08a96a3744f3" /><Relationship Type="http://schemas.openxmlformats.org/officeDocument/2006/relationships/sharedStrings" Target="/xl/sharedStrings.xml" Id="R1fea96f60e914af5" /><Relationship Type="http://schemas.openxmlformats.org/officeDocument/2006/relationships/worksheet" Target="/xl/worksheets/sheet1.xml" Id="R0929cbad12b842b5" /><Relationship Type="http://schemas.openxmlformats.org/officeDocument/2006/relationships/worksheet" Target="/xl/worksheets/sheet2.xml" Id="R2a14b8a6bf4941ac" /><Relationship Type="http://schemas.openxmlformats.org/officeDocument/2006/relationships/worksheet" Target="/xl/worksheets/sheet3.xml" Id="Rdad953a082634629" /><Relationship Type="http://schemas.openxmlformats.org/officeDocument/2006/relationships/worksheet" Target="/xl/worksheets/sheet4.xml" Id="R07b79031f5b449df" /><Relationship Type="http://schemas.openxmlformats.org/officeDocument/2006/relationships/worksheet" Target="/xl/worksheets/sheet5.xml" Id="R5d4b6822b3d44d7c" /><Relationship Type="http://schemas.openxmlformats.org/officeDocument/2006/relationships/worksheet" Target="/xl/worksheets/sheet6.xml" Id="Rd218ba452440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 t="str">
        <x:v>R-001</x:v>
      </x:c>
      <x:c r="B4" s="12" t="str">
        <x:v>Cedar Cafe</x:v>
      </x:c>
      <x:c r="C4" s="12" t="str">
        <x:v>2026-06-03</x:v>
      </x:c>
      <x:c r="D4" s="13" t="n">
        <x:f>'Items'!D4+'Items'!D5</x:f>
        <x:v>16</x:v>
      </x:c>
      <x:c r="E4" s="13" t="n">
        <x:f>D4*0.0825</x:f>
        <x:v>1.32</x:v>
      </x:c>
      <x:c r="F4" s="13" t="n">
        <x:v>3</x:v>
      </x:c>
      <x:c r="G4" s="13" t="n">
        <x:f>D4+E4+F4</x:f>
        <x:v>20.32</x:v>
      </x:c>
      <x:c r="H4" s="12" t="str">
        <x:v>receipt_photo_01.jpg</x:v>
      </x:c>
    </x:row>
    <x:row r="5">
      <x:c r="A5" s="12" t="str">
        <x:v>R-002</x:v>
      </x:c>
      <x:c r="B5" s="12" t="str">
        <x:v>Central Parking</x:v>
      </x:c>
      <x:c r="C5" s="12" t="str">
        <x:v>2026-06-07</x:v>
      </x:c>
      <x:c r="D5" s="13" t="n">
        <x:f>'Items'!D6</x:f>
        <x:v>24</x:v>
      </x:c>
      <x:c r="E5" s="13" t="n">
        <x:f>0</x:f>
        <x:v>0</x:v>
      </x:c>
      <x:c r="F5" s="13" t="n">
        <x:v>0</x:v>
      </x:c>
      <x:c r="G5" s="13" t="n">
        <x:f>D5+E5+F5</x:f>
        <x:v>24</x:v>
      </x:c>
      <x:c r="H5" s="12" t="str">
        <x:v>receipt_photo_02.jpg</x:v>
      </x:c>
    </x:row>
    <x:row r="6">
      <x:c r="A6" s="12" t="str">
        <x:v>R-003</x:v>
      </x:c>
      <x:c r="B6" s="12" t="str">
        <x:v>Stationery Works</x:v>
      </x:c>
      <x:c r="C6" s="12" t="str">
        <x:v>2026-06-14</x:v>
      </x:c>
      <x:c r="D6" s="13" t="n">
        <x:f>'Items'!D7+'Items'!D8</x:f>
        <x:v>30.6</x:v>
      </x:c>
      <x:c r="E6" s="13" t="n">
        <x:f>D6*0.0825</x:f>
        <x:v>2.5245</x:v>
      </x:c>
      <x:c r="F6" s="13" t="n">
        <x:v>0</x:v>
      </x:c>
      <x:c r="G6" s="13" t="n">
        <x:f>D6+E6+F6</x:f>
        <x:v>33.124500000000005</x:v>
      </x:c>
      <x:c r="H6" s="12" t="str">
        <x:v>receipt_photo_03.jpg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 t="str">
        <x:v>R-001</x:v>
      </x:c>
      <x:c r="B4" s="12" t="str">
        <x:v>Iced coffee</x:v>
      </x:c>
      <x:c r="C4" s="12" t="str">
        <x:v>none</x:v>
      </x:c>
      <x:c r="D4" s="13" t="n">
        <x:v>5.2</x:v>
      </x:c>
      <x:c r="E4" s="12" t="str">
        <x:v>Meals</x:v>
      </x:c>
      <x:c r="F4" s="12" t="str">
        <x:v>receipt_photo_01.jpg</x:v>
      </x:c>
      <x:c r="G4" s="12" t="str">
        <x:v>receipt_photo_01.jpg:line-1</x:v>
      </x:c>
    </x:row>
    <x:row r="5">
      <x:c r="A5" s="12" t="str">
        <x:v>R-001</x:v>
      </x:c>
      <x:c r="B5" s="12" t="str">
        <x:v>Sandwich</x:v>
      </x:c>
      <x:c r="C5" s="12" t="str">
        <x:v>none</x:v>
      </x:c>
      <x:c r="D5" s="13" t="n">
        <x:v>10.8</x:v>
      </x:c>
      <x:c r="E5" s="12" t="str">
        <x:v>Meals</x:v>
      </x:c>
      <x:c r="F5" s="12" t="str">
        <x:v>receipt_photo_01.jpg</x:v>
      </x:c>
      <x:c r="G5" s="12" t="str">
        <x:v>receipt_photo_01.jpg:line-2</x:v>
      </x:c>
    </x:row>
    <x:row r="6">
      <x:c r="A6" s="12" t="str">
        <x:v>R-002</x:v>
      </x:c>
      <x:c r="B6" s="12" t="str">
        <x:v>Parking</x:v>
      </x:c>
      <x:c r="C6" s="12" t="str">
        <x:v>none</x:v>
      </x:c>
      <x:c r="D6" s="13" t="n">
        <x:v>24</x:v>
      </x:c>
      <x:c r="E6" s="12" t="str">
        <x:v>Travel</x:v>
      </x:c>
      <x:c r="F6" s="12" t="str">
        <x:v>receipt_photo_02.jpg</x:v>
      </x:c>
      <x:c r="G6" s="12" t="str">
        <x:v>receipt_photo_02.jpg:line-1</x:v>
      </x:c>
    </x:row>
    <x:row r="7">
      <x:c r="A7" s="12" t="str">
        <x:v>R-002</x:v>
      </x:c>
      <x:c r="B7" s="12" t="str">
        <x:v>Markers</x:v>
      </x:c>
      <x:c r="C7" s="12" t="str">
        <x:v>none</x:v>
      </x:c>
      <x:c r="D7" s="13" t="n">
        <x:v>18.6</x:v>
      </x:c>
      <x:c r="E7" s="12" t="str">
        <x:v>Office</x:v>
      </x:c>
      <x:c r="F7" s="12" t="str">
        <x:v>receipt_photo_03.jpg</x:v>
      </x:c>
      <x:c r="G7" s="12" t="str">
        <x:v>receipt_photo_03.jpg:line-1</x:v>
      </x:c>
    </x:row>
    <x:row r="8">
      <x:c r="A8" s="12" t="str">
        <x:v>R-003</x:v>
      </x:c>
      <x:c r="B8" s="12" t="str">
        <x:v>Folders</x:v>
      </x:c>
      <x:c r="C8" s="12" t="str">
        <x:v>none</x:v>
      </x:c>
      <x:c r="D8" s="13" t="n">
        <x:v>12</x:v>
      </x:c>
      <x:c r="E8" s="12" t="str">
        <x:v>Office</x:v>
      </x:c>
      <x:c r="F8" s="12" t="str">
        <x:v>receipt_photo_03.jpg</x:v>
      </x:c>
      <x:c r="G8" s="12" t="str">
        <x:v>receipt_photo_03.jpg:line-2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 t="str">
        <x:v>Meals</x:v>
      </x:c>
      <x:c r="B4" s="13" t="n">
        <x:f>'Documents'!G4</x:f>
        <x:v>20.32</x:v>
      </x:c>
      <x:c r="C4" s="12" t="str">
        <x:v>R-001</x:v>
      </x:c>
      <x:c r="D4" s="12" t="str">
        <x:v>Receipt items plus tax/tip</x:v>
      </x:c>
    </x:row>
    <x:row r="5">
      <x:c r="A5" s="12" t="str">
        <x:v>Travel</x:v>
      </x:c>
      <x:c r="B5" s="13" t="n">
        <x:f>'Documents'!G5</x:f>
        <x:v>24</x:v>
      </x:c>
      <x:c r="C5" s="12" t="str">
        <x:v>R-002</x:v>
      </x:c>
      <x:c r="D5" s="12" t="str">
        <x:v>Receipt total</x:v>
      </x:c>
    </x:row>
    <x:row r="6">
      <x:c r="A6" s="12" t="str">
        <x:v>Office</x:v>
      </x:c>
      <x:c r="B6" s="13" t="n">
        <x:f>'Documents'!G6</x:f>
        <x:v>33.124500000000005</x:v>
      </x:c>
      <x:c r="C6" s="12" t="str">
        <x:v>R-003</x:v>
      </x:c>
      <x:c r="D6" s="12" t="str">
        <x:v>Receipt items plus tax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 t="str">
        <x:v>R-001</x:v>
      </x:c>
      <x:c r="B4" s="12" t="str">
        <x:v>Iced coffee</x:v>
      </x:c>
      <x:c r="C4" s="12" t="str">
        <x:v>receipt_photo_01.jpg</x:v>
      </x:c>
      <x:c r="D4" s="12" t="str">
        <x:v>receipt_photo_01.jpg:line-1</x:v>
      </x:c>
      <x:c r="E4" s="12" t="str">
        <x:v>Items!4</x:v>
      </x:c>
    </x:row>
    <x:row r="5">
      <x:c r="A5" s="12" t="str">
        <x:v>R-001</x:v>
      </x:c>
      <x:c r="B5" s="12" t="str">
        <x:v>Sandwich</x:v>
      </x:c>
      <x:c r="C5" s="12" t="str">
        <x:v>receipt_photo_01.jpg</x:v>
      </x:c>
      <x:c r="D5" s="12" t="str">
        <x:v>receipt_photo_01.jpg:line-2</x:v>
      </x:c>
      <x:c r="E5" s="12" t="str">
        <x:v>Items!5</x:v>
      </x:c>
    </x:row>
    <x:row r="6">
      <x:c r="A6" s="12" t="str">
        <x:v>R-002</x:v>
      </x:c>
      <x:c r="B6" s="12" t="str">
        <x:v>Parking</x:v>
      </x:c>
      <x:c r="C6" s="12" t="str">
        <x:v>receipt_photo_02.jpg</x:v>
      </x:c>
      <x:c r="D6" s="12" t="str">
        <x:v>receipt_photo_02.jpg:line-1</x:v>
      </x:c>
      <x:c r="E6" s="12" t="str">
        <x:v>Items!6</x:v>
      </x:c>
    </x:row>
    <x:row r="7">
      <x:c r="A7" s="12" t="str">
        <x:v>R-003</x:v>
      </x:c>
      <x:c r="B7" s="12" t="str">
        <x:v>Markers</x:v>
      </x:c>
      <x:c r="C7" s="12" t="str">
        <x:v>receipt_photo_03.jpg</x:v>
      </x:c>
      <x:c r="D7" s="12" t="str">
        <x:v>receipt_photo_03.jpg:line-1</x:v>
      </x:c>
      <x:c r="E7" s="12" t="str">
        <x:v>Items!7</x:v>
      </x:c>
    </x:row>
    <x:row r="8">
      <x:c r="A8" s="12" t="str">
        <x:v>R-003</x:v>
      </x:c>
      <x:c r="B8" s="12" t="str">
        <x:v>Folders</x:v>
      </x:c>
      <x:c r="C8" s="12" t="str">
        <x:v>receipt_photo_03.jpg</x:v>
      </x:c>
      <x:c r="D8" s="12" t="str">
        <x:v>receipt_photo_03.jpg:line-2</x:v>
      </x:c>
      <x:c r="E8" s="12" t="str">
        <x:v>Items!8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 t="n">
        <x:f>1+1+1</x:f>
        <x:v>3</x:v>
      </x:c>
      <x:c r="C4" s="12" t="n">
        <x:v>3</x:v>
      </x:c>
      <x:c r="D4" s="12" t="str">
        <x:v>Three source images</x:v>
      </x:c>
    </x:row>
    <x:row r="5">
      <x:c r="A5" s="12" t="str">
        <x:v>Item count</x:v>
      </x:c>
      <x:c r="B5" s="12" t="n">
        <x:f>1+1+1+1+1</x:f>
        <x:v>5</x:v>
      </x:c>
      <x:c r="C5" s="12" t="n">
        <x:v>5</x:v>
      </x:c>
      <x:c r="D5" s="12" t="str">
        <x:v>All line items retained</x:v>
      </x:c>
    </x:row>
    <x:row r="6">
      <x:c r="A6" s="12" t="str">
        <x:v>Batch total</x:v>
      </x:c>
      <x:c r="B6" s="13" t="n">
        <x:f>SUM('Documents'!G4:G6)</x:f>
        <x:v>77.4445</x:v>
      </x:c>
      <x:c r="C6" s="13" t="n">
        <x:v>77.44</x:v>
      </x:c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