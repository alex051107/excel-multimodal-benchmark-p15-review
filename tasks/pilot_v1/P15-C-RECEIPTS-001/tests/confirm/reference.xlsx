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37cb7a786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dac7ac6b701040f2"/>
    <x:sheet xmlns:r="http://schemas.openxmlformats.org/officeDocument/2006/relationships" name="Items" sheetId="2" r:id="R60c27587b4714a01"/>
    <x:sheet xmlns:r="http://schemas.openxmlformats.org/officeDocument/2006/relationships" name="Categories" sheetId="3" r:id="R9212f10a99a1472f"/>
    <x:sheet xmlns:r="http://schemas.openxmlformats.org/officeDocument/2006/relationships" name="Exceptions" sheetId="4" r:id="R895fa05b6ffa46c3"/>
    <x:sheet xmlns:r="http://schemas.openxmlformats.org/officeDocument/2006/relationships" name="Provenance" sheetId="5" r:id="Rd22521356f1b4678"/>
    <x:sheet xmlns:r="http://schemas.openxmlformats.org/officeDocument/2006/relationships" name="Reconciliation" sheetId="6" r:id="Rd0a3e05130da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ef25401be4bef" /><Relationship Type="http://schemas.openxmlformats.org/officeDocument/2006/relationships/theme" Target="/xl/theme/theme1.xml" Id="R6d030906705e4d45" /><Relationship Type="http://schemas.openxmlformats.org/officeDocument/2006/relationships/sharedStrings" Target="/xl/sharedStrings.xml" Id="Rb74059a174e744e3" /><Relationship Type="http://schemas.openxmlformats.org/officeDocument/2006/relationships/worksheet" Target="/xl/worksheets/sheet1.xml" Id="Rdac7ac6b701040f2" /><Relationship Type="http://schemas.openxmlformats.org/officeDocument/2006/relationships/worksheet" Target="/xl/worksheets/sheet2.xml" Id="R60c27587b4714a01" /><Relationship Type="http://schemas.openxmlformats.org/officeDocument/2006/relationships/worksheet" Target="/xl/worksheets/sheet3.xml" Id="R9212f10a99a1472f" /><Relationship Type="http://schemas.openxmlformats.org/officeDocument/2006/relationships/worksheet" Target="/xl/worksheets/sheet4.xml" Id="R895fa05b6ffa46c3" /><Relationship Type="http://schemas.openxmlformats.org/officeDocument/2006/relationships/worksheet" Target="/xl/worksheets/sheet5.xml" Id="Rd22521356f1b4678" /><Relationship Type="http://schemas.openxmlformats.org/officeDocument/2006/relationships/worksheet" Target="/xl/worksheets/sheet6.xml" Id="Rd0a3e05130da4b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CR-101</x:v>
      </x:c>
      <x:c r="B4" s="12" t="str">
        <x:v>Juniper Bakery</x:v>
      </x:c>
      <x:c r="C4" s="12" t="str">
        <x:v>2026-07-02</x:v>
      </x:c>
      <x:c r="D4" s="13" t="n">
        <x:f>'Items'!D4+'Items'!D5</x:f>
        <x:v>17.75</x:v>
      </x:c>
      <x:c r="E4" s="13" t="n">
        <x:f>ROUND(D4*0.0825,2)</x:f>
        <x:v>1.46</x:v>
      </x:c>
      <x:c r="F4" s="13" t="n">
        <x:v>2.5</x:v>
      </x:c>
      <x:c r="G4" s="13" t="n">
        <x:f>D4+E4+F4</x:f>
        <x:v>21.71</x:v>
      </x:c>
      <x:c r="H4" s="12" t="str">
        <x:v>confirm_receipt_01.jpg</x:v>
      </x:c>
    </x:row>
    <x:row r="5">
      <x:c r="A5" s="12" t="str">
        <x:v>CR-102</x:v>
      </x:c>
      <x:c r="B5" s="12" t="str">
        <x:v>Metro Transit Garage</x:v>
      </x:c>
      <x:c r="C5" s="12" t="str">
        <x:v>2026-07-08</x:v>
      </x:c>
      <x:c r="D5" s="13" t="n">
        <x:f>'Items'!D6</x:f>
        <x:v>18</x:v>
      </x:c>
      <x:c r="E5" s="13" t="n">
        <x:f>0</x:f>
        <x:v>0</x:v>
      </x:c>
      <x:c r="F5" s="13" t="n">
        <x:v>0</x:v>
      </x:c>
      <x:c r="G5" s="13" t="n">
        <x:f>D5+E5+F5</x:f>
        <x:v>18</x:v>
      </x:c>
      <x:c r="H5" s="12" t="str">
        <x:v>confirm_receipt_02.jpg</x:v>
      </x:c>
    </x:row>
    <x:row r="6">
      <x:c r="A6" s="12" t="str">
        <x:v>CR-103</x:v>
      </x:c>
      <x:c r="B6" s="12" t="str">
        <x:v>Office Corner</x:v>
      </x:c>
      <x:c r="C6" s="12" t="str">
        <x:v>2026-07-13</x:v>
      </x:c>
      <x:c r="D6" s="13" t="n">
        <x:f>'Items'!D7+'Items'!D8</x:f>
        <x:v>32.15</x:v>
      </x:c>
      <x:c r="E6" s="13" t="n">
        <x:f>ROUND(D6*0.0825,2)</x:f>
        <x:v>2.65</x:v>
      </x:c>
      <x:c r="F6" s="13" t="n">
        <x:v>0</x:v>
      </x:c>
      <x:c r="G6" s="13" t="n">
        <x:f>D6+E6+F6</x:f>
        <x:v>34.8</x:v>
      </x:c>
      <x:c r="H6" s="12" t="str">
        <x:v>confirm_receipt_03.jpg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CR-101</x:v>
      </x:c>
      <x:c r="B4" s="12" t="str">
        <x:v>Sparkling water</x:v>
      </x:c>
      <x:c r="C4" s="12" t="str">
        <x:v>none</x:v>
      </x:c>
      <x:c r="D4" s="13" t="n">
        <x:v>4.5</x:v>
      </x:c>
      <x:c r="E4" s="12" t="str">
        <x:v>Meals</x:v>
      </x:c>
      <x:c r="F4" s="12" t="str">
        <x:v>confirm_receipt_01.jpg</x:v>
      </x:c>
      <x:c r="G4" s="12" t="str">
        <x:v>confirm_receipt_01.jpg:line-1</x:v>
      </x:c>
    </x:row>
    <x:row r="5">
      <x:c r="A5" s="12" t="str">
        <x:v>CR-101</x:v>
      </x:c>
      <x:c r="B5" s="12" t="str">
        <x:v>Lunch bowl</x:v>
      </x:c>
      <x:c r="C5" s="12" t="str">
        <x:v>none</x:v>
      </x:c>
      <x:c r="D5" s="13" t="n">
        <x:v>13.25</x:v>
      </x:c>
      <x:c r="E5" s="12" t="str">
        <x:v>Meals</x:v>
      </x:c>
      <x:c r="F5" s="12" t="str">
        <x:v>confirm_receipt_01.jpg</x:v>
      </x:c>
      <x:c r="G5" s="12" t="str">
        <x:v>confirm_receipt_01.jpg:line-2</x:v>
      </x:c>
    </x:row>
    <x:row r="6">
      <x:c r="A6" s="12" t="str">
        <x:v>CR-102</x:v>
      </x:c>
      <x:c r="B6" s="12" t="str">
        <x:v>Parking</x:v>
      </x:c>
      <x:c r="C6" s="12" t="str">
        <x:v>none</x:v>
      </x:c>
      <x:c r="D6" s="13" t="n">
        <x:v>18</x:v>
      </x:c>
      <x:c r="E6" s="12" t="str">
        <x:v>Travel</x:v>
      </x:c>
      <x:c r="F6" s="12" t="str">
        <x:v>confirm_receipt_02.jpg</x:v>
      </x:c>
      <x:c r="G6" s="12" t="str">
        <x:v>confirm_receipt_02.jpg:line-1</x:v>
      </x:c>
    </x:row>
    <x:row r="7">
      <x:c r="A7" s="12" t="str">
        <x:v>CR-103</x:v>
      </x:c>
      <x:c r="B7" s="12" t="str">
        <x:v>Label rolls</x:v>
      </x:c>
      <x:c r="C7" s="12" t="str">
        <x:v>none</x:v>
      </x:c>
      <x:c r="D7" s="13" t="n">
        <x:v>9.75</x:v>
      </x:c>
      <x:c r="E7" s="12" t="str">
        <x:v>Office</x:v>
      </x:c>
      <x:c r="F7" s="12" t="str">
        <x:v>confirm_receipt_03.jpg</x:v>
      </x:c>
      <x:c r="G7" s="12" t="str">
        <x:v>confirm_receipt_03.jpg:line-1</x:v>
      </x:c>
    </x:row>
    <x:row r="8">
      <x:c r="A8" s="12" t="str">
        <x:v>CR-103</x:v>
      </x:c>
      <x:c r="B8" s="12" t="str">
        <x:v>USB adapters</x:v>
      </x:c>
      <x:c r="C8" s="12" t="str">
        <x:v>none</x:v>
      </x:c>
      <x:c r="D8" s="13" t="n">
        <x:v>22.4</x:v>
      </x:c>
      <x:c r="E8" s="12" t="str">
        <x:v>Office</x:v>
      </x:c>
      <x:c r="F8" s="12" t="str">
        <x:v>confirm_receipt_03.jpg</x:v>
      </x:c>
      <x:c r="G8" s="12" t="str">
        <x:v>confirm_receipt_03.jpg:line-2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Meals</x:v>
      </x:c>
      <x:c r="B4" s="13" t="n">
        <x:f>'Documents'!G4</x:f>
        <x:v>21.71</x:v>
      </x:c>
      <x:c r="C4" s="12" t="str">
        <x:v>CR-101</x:v>
      </x:c>
      <x:c r="D4" s="12" t="str">
        <x:v>Receipt items plus tax/tip</x:v>
      </x:c>
    </x:row>
    <x:row r="5">
      <x:c r="A5" s="12" t="str">
        <x:v>Travel</x:v>
      </x:c>
      <x:c r="B5" s="13" t="n">
        <x:f>'Documents'!G5</x:f>
        <x:v>18</x:v>
      </x:c>
      <x:c r="C5" s="12" t="str">
        <x:v>CR-102</x:v>
      </x:c>
      <x:c r="D5" s="12" t="str">
        <x:v>Receipt total</x:v>
      </x:c>
    </x:row>
    <x:row r="6">
      <x:c r="A6" s="12" t="str">
        <x:v>Office</x:v>
      </x:c>
      <x:c r="B6" s="13" t="n">
        <x:f>'Documents'!G6</x:f>
        <x:v>34.8</x:v>
      </x:c>
      <x:c r="C6" s="12" t="str">
        <x:v>CR-103</x:v>
      </x:c>
      <x:c r="D6" s="12" t="str">
        <x:v>Receipt items plus tax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CR-101</x:v>
      </x:c>
      <x:c r="B4" s="12" t="str">
        <x:v>Sparkling water</x:v>
      </x:c>
      <x:c r="C4" s="12" t="str">
        <x:v>confirm_receipt_01.jpg</x:v>
      </x:c>
      <x:c r="D4" s="12" t="str">
        <x:v>confirm_receipt_01.jpg:line-1</x:v>
      </x:c>
      <x:c r="E4" s="12" t="str">
        <x:v>Items!4</x:v>
      </x:c>
    </x:row>
    <x:row r="5">
      <x:c r="A5" s="12" t="str">
        <x:v>CR-101</x:v>
      </x:c>
      <x:c r="B5" s="12" t="str">
        <x:v>Lunch bowl</x:v>
      </x:c>
      <x:c r="C5" s="12" t="str">
        <x:v>confirm_receipt_01.jpg</x:v>
      </x:c>
      <x:c r="D5" s="12" t="str">
        <x:v>confirm_receipt_01.jpg:line-2</x:v>
      </x:c>
      <x:c r="E5" s="12" t="str">
        <x:v>Items!5</x:v>
      </x:c>
    </x:row>
    <x:row r="6">
      <x:c r="A6" s="12" t="str">
        <x:v>CR-102</x:v>
      </x:c>
      <x:c r="B6" s="12" t="str">
        <x:v>Parking</x:v>
      </x:c>
      <x:c r="C6" s="12" t="str">
        <x:v>confirm_receipt_02.jpg</x:v>
      </x:c>
      <x:c r="D6" s="12" t="str">
        <x:v>confirm_receipt_02.jpg:line-1</x:v>
      </x:c>
      <x:c r="E6" s="12" t="str">
        <x:v>Items!6</x:v>
      </x:c>
    </x:row>
    <x:row r="7">
      <x:c r="A7" s="12" t="str">
        <x:v>CR-103</x:v>
      </x:c>
      <x:c r="B7" s="12" t="str">
        <x:v>Label rolls</x:v>
      </x:c>
      <x:c r="C7" s="12" t="str">
        <x:v>confirm_receipt_03.jpg</x:v>
      </x:c>
      <x:c r="D7" s="12" t="str">
        <x:v>confirm_receipt_03.jpg:line-1</x:v>
      </x:c>
      <x:c r="E7" s="12" t="str">
        <x:v>Items!7</x:v>
      </x:c>
    </x:row>
    <x:row r="8">
      <x:c r="A8" s="12" t="str">
        <x:v>CR-103</x:v>
      </x:c>
      <x:c r="B8" s="12" t="str">
        <x:v>USB adapters</x:v>
      </x:c>
      <x:c r="C8" s="12" t="str">
        <x:v>confirm_receipt_03.jpg</x:v>
      </x:c>
      <x:c r="D8" s="12" t="str">
        <x:v>confirm_receipt_03.jpg:line-2</x:v>
      </x:c>
      <x:c r="E8" s="12" t="str">
        <x:v>Items!8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SUM('Documents'!G4:G6)</x:f>
        <x:v>74.50999999999999</x:v>
      </x:c>
      <x:c r="C6" s="13" t="n">
        <x:v>74.51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