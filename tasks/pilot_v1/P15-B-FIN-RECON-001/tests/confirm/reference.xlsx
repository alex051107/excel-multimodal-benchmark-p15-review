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e1fce93ca58497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Ledger" sheetId="1" r:id="R80b7369caaf849d2"/>
    <x:sheet xmlns:r="http://schemas.openxmlformats.org/officeDocument/2006/relationships" name="Subledger" sheetId="2" r:id="Ref40ae271ab541db"/>
    <x:sheet xmlns:r="http://schemas.openxmlformats.org/officeDocument/2006/relationships" name="FX_Rates" sheetId="3" r:id="Rdbba4f33ff4c476f"/>
    <x:sheet xmlns:r="http://schemas.openxmlformats.org/officeDocument/2006/relationships" name="Adjustment_Evidence" sheetId="4" r:id="Rf592e166b82d4cfe"/>
    <x:sheet xmlns:r="http://schemas.openxmlformats.org/officeDocument/2006/relationships" name="Normalized_Records" sheetId="5" r:id="Rf378eb3e3c1d4964"/>
    <x:sheet xmlns:r="http://schemas.openxmlformats.org/officeDocument/2006/relationships" name="Matched_Items" sheetId="6" r:id="Rc5b5018322e64847"/>
    <x:sheet xmlns:r="http://schemas.openxmlformats.org/officeDocument/2006/relationships" name="Unmatched_Items" sheetId="7" r:id="R5e285a34600f4d02"/>
    <x:sheet xmlns:r="http://schemas.openxmlformats.org/officeDocument/2006/relationships" name="Variance_Bridge" sheetId="8" r:id="Rbde89cd831574910"/>
    <x:sheet xmlns:r="http://schemas.openxmlformats.org/officeDocument/2006/relationships" name="Final_Reconciliation" sheetId="9" r:id="Re5df83ba5c14483d"/>
    <x:sheet xmlns:r="http://schemas.openxmlformats.org/officeDocument/2006/relationships" name="Checks" sheetId="10" r:id="R7b6de94ca5c8455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#,##0.00"/>
    <x:numFmt numFmtId="201" formatCode="0.0000"/>
    <x:numFmt numFmtId="202" formatCode="$#,##0"/>
    <x:numFmt numFmtId="203" formatCode="$#,##0.00"/>
  </x:numFmts>
  <x:fonts count="3">
    <x:font>
      <x:sz val="11"/>
      <x:name val="Carlito"/>
    </x:font>
    <x:font>
      <x:b/>
      <x:sz val="14"/>
      <x:color rgb="FFFFFFFF"/>
      <x:name val="Carlito"/>
    </x:font>
    <x:font>
      <x:b/>
      <x:sz val="11"/>
      <x:color rgb="FF1F2937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D9EAF7"/>
      </x:patternFill>
    </x:fill>
  </x:fills>
  <x:borders count="2">
    <x:border/>
    <x:border>
      <x:left style="thin">
        <x:color rgb="FFD1D5DB"/>
      </x:left>
      <x:right style="thin">
        <x:color rgb="FFD1D5DB"/>
      </x:right>
      <x:top style="thin">
        <x:color rgb="FFD1D5DB"/>
      </x:top>
      <x:bottom style="thin">
        <x:color rgb="FFD1D5DB"/>
      </x:bottom>
    </x:border>
  </x:borders>
  <x:cellStyleXfs count="1">
    <x:xf numFmtId="0" fontId="0" fillId="0" borderId="0"/>
  </x:cellStyleXfs>
  <x:cellXfs count="19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horizontal="center" wrapText="1"/>
    </x:xf>
    <x:xf numFmtId="0" fontId="2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200" fontId="0" fillId="0" borderId="1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wrapText="1"/>
    </x:xf>
    <x:xf numFmtId="201" fontId="0" fillId="0" borderId="1" xfId="0" applyNumberFormat="1" applyFont="1" applyFill="1" applyBorder="1" applyAlignment="1">
      <x:alignment vertical="center" wrapText="1"/>
    </x:xf>
    <x:xf numFmtId="202" fontId="0" fillId="0" borderId="1" xfId="0" applyNumberFormat="1" applyFont="1" applyFill="1" applyBorder="1" applyAlignment="1">
      <x:alignment vertical="center" wrapText="1"/>
    </x:xf>
    <x:xf numFmtId="203" fontId="0" fillId="0" borderId="1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3fe9984565440f0" /><Relationship Type="http://schemas.openxmlformats.org/officeDocument/2006/relationships/theme" Target="/xl/theme/theme1.xml" Id="Rda1caac5c2dc421f" /><Relationship Type="http://schemas.openxmlformats.org/officeDocument/2006/relationships/sharedStrings" Target="/xl/sharedStrings.xml" Id="Rca3d97b44e9d44e8" /><Relationship Type="http://schemas.openxmlformats.org/officeDocument/2006/relationships/worksheet" Target="/xl/worksheets/sheet1.xml" Id="R80b7369caaf849d2" /><Relationship Type="http://schemas.openxmlformats.org/officeDocument/2006/relationships/worksheet" Target="/xl/worksheets/sheet2.xml" Id="Ref40ae271ab541db" /><Relationship Type="http://schemas.openxmlformats.org/officeDocument/2006/relationships/worksheet" Target="/xl/worksheets/sheet3.xml" Id="Rdbba4f33ff4c476f" /><Relationship Type="http://schemas.openxmlformats.org/officeDocument/2006/relationships/worksheet" Target="/xl/worksheets/sheet4.xml" Id="Rf592e166b82d4cfe" /><Relationship Type="http://schemas.openxmlformats.org/officeDocument/2006/relationships/worksheet" Target="/xl/worksheets/sheet5.xml" Id="Rf378eb3e3c1d4964" /><Relationship Type="http://schemas.openxmlformats.org/officeDocument/2006/relationships/worksheet" Target="/xl/worksheets/sheet6.xml" Id="Rc5b5018322e64847" /><Relationship Type="http://schemas.openxmlformats.org/officeDocument/2006/relationships/worksheet" Target="/xl/worksheets/sheet7.xml" Id="R5e285a34600f4d02" /><Relationship Type="http://schemas.openxmlformats.org/officeDocument/2006/relationships/worksheet" Target="/xl/worksheets/sheet8.xml" Id="Rbde89cd831574910" /><Relationship Type="http://schemas.openxmlformats.org/officeDocument/2006/relationships/worksheet" Target="/xl/worksheets/sheet9.xml" Id="Re5df83ba5c14483d" /><Relationship Type="http://schemas.openxmlformats.org/officeDocument/2006/relationships/worksheet" Target="/xl/worksheets/sheet10.xml" Id="R7b6de94ca5c8455f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9" hidden="0" customWidth="1"/>
    <x:col min="3" max="3" width="17" hidden="0" customWidth="1"/>
    <x:col min="4" max="4" width="14" hidden="0" customWidth="1"/>
    <x:col min="5" max="5" width="20" hidden="0" customWidth="1"/>
  </x:cols>
  <x:sheetData>
    <x:row r="1" ht="26" customHeight="1">
      <x:c r="A1" s="14" t="str">
        <x:v>General Ledger Extract</x:v>
      </x:c>
      <x:c r="B1" s="14"/>
      <x:c r="C1" s="14"/>
      <x:c r="D1" s="14"/>
      <x:c r="E1" s="14"/>
    </x:row>
    <x:row r="2">
      <x:c r="A2" s="15"/>
      <x:c r="B2" s="15"/>
      <x:c r="C2" s="15"/>
      <x:c r="D2" s="15"/>
      <x:c r="E2" s="15"/>
    </x:row>
    <x:row r="3">
      <x:c r="A3" s="9" t="str">
        <x:v>Journal ID</x:v>
      </x:c>
      <x:c r="B3" s="9" t="str">
        <x:v>Transaction date</x:v>
      </x:c>
      <x:c r="C3" s="9" t="str">
        <x:v>Invoice</x:v>
      </x:c>
      <x:c r="D3" s="9" t="str">
        <x:v>Currency</x:v>
      </x:c>
      <x:c r="E3" s="9" t="str">
        <x:v>Original amount</x:v>
      </x:c>
    </x:row>
    <x:row r="4">
      <x:c r="A4" s="12" t="str">
        <x:v>GL-210</x:v>
      </x:c>
      <x:c r="B4" s="12" t="str">
        <x:v>2024-09-27</x:v>
      </x:c>
      <x:c r="C4" s="12" t="str">
        <x:v>BILL-210</x:v>
      </x:c>
      <x:c r="D4" s="12" t="str">
        <x:v>CAD</x:v>
      </x:c>
      <x:c r="E4" s="13" t="n">
        <x:v>1500</x:v>
      </x:c>
    </x:row>
    <x:row r="5">
      <x:c r="A5" s="12" t="str">
        <x:v>GL-211</x:v>
      </x:c>
      <x:c r="B5" s="12" t="str">
        <x:v>2024-09-28</x:v>
      </x:c>
      <x:c r="C5" s="12" t="str">
        <x:v>BILL-211</x:v>
      </x:c>
      <x:c r="D5" s="12" t="str">
        <x:v>GBP</x:v>
      </x:c>
      <x:c r="E5" s="13" t="n">
        <x:v>800</x:v>
      </x:c>
    </x:row>
    <x:row r="6">
      <x:c r="A6" s="12" t="str">
        <x:v>GL-212</x:v>
      </x:c>
      <x:c r="B6" s="12" t="str">
        <x:v>2024-10-01</x:v>
      </x:c>
      <x:c r="C6" s="12" t="str">
        <x:v>BILL-212</x:v>
      </x:c>
      <x:c r="D6" s="12" t="str">
        <x:v>USD</x:v>
      </x:c>
      <x:c r="E6" s="13" t="n">
        <x:v>975</x:v>
      </x:c>
    </x:row>
    <x:row r="7">
      <x:c r="A7" s="12" t="str">
        <x:v>GL-215</x:v>
      </x:c>
      <x:c r="B7" s="12" t="str">
        <x:v>2024-09-29</x:v>
      </x:c>
      <x:c r="C7" s="12" t="str">
        <x:v>BILL-215</x:v>
      </x:c>
      <x:c r="D7" s="12" t="str">
        <x:v>USD</x:v>
      </x:c>
      <x:c r="E7" s="13" t="n">
        <x:v>410</x:v>
      </x:c>
    </x:row>
    <x:row r="8">
      <x:c r="A8" s="12" t="str">
        <x:v>GL-216</x:v>
      </x:c>
      <x:c r="B8" s="12" t="str">
        <x:v>2024-09-29</x:v>
      </x:c>
      <x:c r="C8" s="12" t="str">
        <x:v>BILL-216</x:v>
      </x:c>
      <x:c r="D8" s="12" t="str">
        <x:v>CAD</x:v>
      </x:c>
      <x:c r="E8" s="13" t="n">
        <x:v>600</x:v>
      </x:c>
    </x:row>
  </x:sheetData>
  <x:mergeCells>
    <x:mergeCell ref="A1:E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9" hidden="0" customWidth="1"/>
    <x:col min="3" max="3" width="17" hidden="0" customWidth="1"/>
    <x:col min="4" max="4" width="14" hidden="0" customWidth="1"/>
    <x:col min="5" max="5" width="20" hidden="0" customWidth="1"/>
  </x:cols>
  <x:sheetData>
    <x:row r="1" ht="26" customHeight="1">
      <x:c r="A1" s="14" t="str">
        <x:v>Counterparty Subledger Extract</x:v>
      </x:c>
      <x:c r="B1" s="14"/>
      <x:c r="C1" s="14"/>
      <x:c r="D1" s="14"/>
      <x:c r="E1" s="14"/>
    </x:row>
    <x:row r="2">
      <x:c r="A2" s="15"/>
      <x:c r="B2" s="15"/>
      <x:c r="C2" s="15"/>
      <x:c r="D2" s="15"/>
      <x:c r="E2" s="15"/>
    </x:row>
    <x:row r="3">
      <x:c r="A3" s="9" t="str">
        <x:v>Record ID</x:v>
      </x:c>
      <x:c r="B3" s="9" t="str">
        <x:v>Transaction date</x:v>
      </x:c>
      <x:c r="C3" s="9" t="str">
        <x:v>Invoice</x:v>
      </x:c>
      <x:c r="D3" s="9" t="str">
        <x:v>Currency</x:v>
      </x:c>
      <x:c r="E3" s="9" t="str">
        <x:v>Original amount</x:v>
      </x:c>
    </x:row>
    <x:row r="4">
      <x:c r="A4" s="12" t="str">
        <x:v>AP-210</x:v>
      </x:c>
      <x:c r="B4" s="12" t="str">
        <x:v>2024-09-27</x:v>
      </x:c>
      <x:c r="C4" s="12" t="str">
        <x:v>BILL-210</x:v>
      </x:c>
      <x:c r="D4" s="12" t="str">
        <x:v>CAD</x:v>
      </x:c>
      <x:c r="E4" s="13" t="n">
        <x:v>1500</x:v>
      </x:c>
    </x:row>
    <x:row r="5">
      <x:c r="A5" s="12" t="str">
        <x:v>AP-211</x:v>
      </x:c>
      <x:c r="B5" s="12" t="str">
        <x:v>2024-09-28</x:v>
      </x:c>
      <x:c r="C5" s="12" t="str">
        <x:v>BILL-211</x:v>
      </x:c>
      <x:c r="D5" s="12" t="str">
        <x:v>GBP</x:v>
      </x:c>
      <x:c r="E5" s="13" t="n">
        <x:v>800</x:v>
      </x:c>
    </x:row>
    <x:row r="6">
      <x:c r="A6" s="12" t="str">
        <x:v>AP-212</x:v>
      </x:c>
      <x:c r="B6" s="12" t="str">
        <x:v>2024-10-01</x:v>
      </x:c>
      <x:c r="C6" s="12" t="str">
        <x:v>BILL-212</x:v>
      </x:c>
      <x:c r="D6" s="12" t="str">
        <x:v>USD</x:v>
      </x:c>
      <x:c r="E6" s="13" t="n">
        <x:v>975</x:v>
      </x:c>
    </x:row>
    <x:row r="7">
      <x:c r="A7" s="12" t="str">
        <x:v>AP-213</x:v>
      </x:c>
      <x:c r="B7" s="12" t="str">
        <x:v>2024-09-30</x:v>
      </x:c>
      <x:c r="C7" s="12" t="str">
        <x:v>BILL-213</x:v>
      </x:c>
      <x:c r="D7" s="12" t="str">
        <x:v>USD</x:v>
      </x:c>
      <x:c r="E7" s="13" t="n">
        <x:v>640</x:v>
      </x:c>
    </x:row>
    <x:row r="8">
      <x:c r="A8" s="12" t="str">
        <x:v>AP-215</x:v>
      </x:c>
      <x:c r="B8" s="12" t="str">
        <x:v>2024-09-29</x:v>
      </x:c>
      <x:c r="C8" s="12" t="str">
        <x:v>BILL-215</x:v>
      </x:c>
      <x:c r="D8" s="12" t="str">
        <x:v>USD</x:v>
      </x:c>
      <x:c r="E8" s="13" t="n">
        <x:v>455</x:v>
      </x:c>
    </x:row>
  </x:sheetData>
  <x:mergeCells>
    <x:mergeCell ref="A1:E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5" hidden="0" customWidth="1"/>
    <x:col min="3" max="3" width="18" hidden="0" customWidth="1"/>
    <x:col min="4" max="4" width="26" hidden="0" customWidth="1"/>
  </x:cols>
  <x:sheetData>
    <x:row r="1" ht="26" customHeight="1">
      <x:c r="A1" s="14" t="str">
        <x:v>Transaction-date FX Rates</x:v>
      </x:c>
      <x:c r="B1" s="14"/>
      <x:c r="C1" s="14"/>
      <x:c r="D1" s="14"/>
    </x:row>
    <x:row r="2">
      <x:c r="A2" s="15"/>
      <x:c r="B2" s="15"/>
      <x:c r="C2" s="15"/>
      <x:c r="D2" s="15"/>
    </x:row>
    <x:row r="3">
      <x:c r="A3" s="9" t="str">
        <x:v>Date</x:v>
      </x:c>
      <x:c r="B3" s="9" t="str">
        <x:v>Currency</x:v>
      </x:c>
      <x:c r="C3" s="9" t="str">
        <x:v>USD per unit</x:v>
      </x:c>
      <x:c r="D3" s="9" t="str">
        <x:v>Authority</x:v>
      </x:c>
    </x:row>
    <x:row r="4">
      <x:c r="A4" s="12" t="str">
        <x:v>2024-09-27</x:v>
      </x:c>
      <x:c r="B4" s="12" t="str">
        <x:v>CAD</x:v>
      </x:c>
      <x:c r="C4" s="16" t="n">
        <x:v>0.74</x:v>
      </x:c>
      <x:c r="D4" s="12" t="str">
        <x:v>Policy rate table</x:v>
      </x:c>
    </x:row>
    <x:row r="5">
      <x:c r="A5" s="12" t="str">
        <x:v>2024-09-28</x:v>
      </x:c>
      <x:c r="B5" s="12" t="str">
        <x:v>GBP</x:v>
      </x:c>
      <x:c r="C5" s="16" t="n">
        <x:v>1.31</x:v>
      </x:c>
      <x:c r="D5" s="12" t="str">
        <x:v>Policy rate table</x:v>
      </x:c>
    </x:row>
    <x:row r="6">
      <x:c r="A6" s="12" t="str">
        <x:v>2024-09-29</x:v>
      </x:c>
      <x:c r="B6" s="12" t="str">
        <x:v>CAD</x:v>
      </x:c>
      <x:c r="C6" s="16" t="n">
        <x:v>0.75</x:v>
      </x:c>
      <x:c r="D6" s="12" t="str">
        <x:v>Policy rate table</x:v>
      </x:c>
    </x:row>
  </x:sheetData>
  <x:mergeCells>
    <x:mergeCell ref="A1:D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7" hidden="0" customWidth="1"/>
    <x:col min="3" max="3" width="17" hidden="0" customWidth="1"/>
    <x:col min="4" max="4" width="54" hidden="0" customWidth="1"/>
    <x:col min="5" max="5" width="32" hidden="0" customWidth="1"/>
  </x:cols>
  <x:sheetData>
    <x:row r="1" ht="26" customHeight="1">
      <x:c r="A1" s="14" t="str">
        <x:v>Approved Reconciliation Adjustment</x:v>
      </x:c>
      <x:c r="B1" s="14"/>
      <x:c r="C1" s="14"/>
      <x:c r="D1" s="14"/>
      <x:c r="E1" s="14"/>
    </x:row>
    <x:row r="2">
      <x:c r="A2" s="15"/>
      <x:c r="B2" s="15"/>
      <x:c r="C2" s="15"/>
      <x:c r="D2" s="15"/>
      <x:c r="E2" s="15"/>
    </x:row>
    <x:row r="3">
      <x:c r="A3" s="9" t="str">
        <x:v>Adjustment ID</x:v>
      </x:c>
      <x:c r="B3" s="9" t="str">
        <x:v>Invoice</x:v>
      </x:c>
      <x:c r="C3" s="9" t="str">
        <x:v>Amount USD</x:v>
      </x:c>
      <x:c r="D3" s="9" t="str">
        <x:v>Reason</x:v>
      </x:c>
      <x:c r="E3" s="9" t="str">
        <x:v>Treatment</x:v>
      </x:c>
    </x:row>
    <x:row r="4">
      <x:c r="A4" s="12" t="str">
        <x:v>ADJ-215</x:v>
      </x:c>
      <x:c r="B4" s="12" t="str">
        <x:v>BILL-215</x:v>
      </x:c>
      <x:c r="C4" s="17" t="n">
        <x:v>-45</x:v>
      </x:c>
      <x:c r="D4" s="12" t="str">
        <x:v>Approved freight-credit timing adjustment from $455 subledger to $410 ledger</x:v>
      </x:c>
      <x:c r="E4" s="12" t="str">
        <x:v>Apply before tolerance match</x:v>
      </x:c>
    </x:row>
  </x:sheetData>
  <x:mergeCells>
    <x:mergeCell ref="A1:E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16" hidden="0" customWidth="1"/>
    <x:col min="3" max="3" width="16" hidden="0" customWidth="1"/>
    <x:col min="4" max="4" width="17" hidden="0" customWidth="1"/>
    <x:col min="5" max="5" width="14" hidden="0" customWidth="1"/>
    <x:col min="6" max="6" width="16" hidden="0" customWidth="1"/>
    <x:col min="7" max="7" width="14" hidden="0" customWidth="1"/>
    <x:col min="8" max="8" width="19" hidden="0" customWidth="1"/>
    <x:col min="9" max="9" width="25" hidden="0" customWidth="1"/>
  </x:cols>
  <x:sheetData>
    <x:row r="1" ht="26" customHeight="1">
      <x:c r="A1" s="14" t="str">
        <x:v>Normalized Reconciliation Records</x:v>
      </x:c>
      <x:c r="B1" s="14"/>
      <x:c r="C1" s="14"/>
      <x:c r="D1" s="14"/>
      <x:c r="E1" s="14"/>
      <x:c r="F1" s="14"/>
      <x:c r="G1" s="14"/>
      <x:c r="H1" s="14"/>
      <x:c r="I1" s="14"/>
    </x:row>
    <x:row r="2">
      <x:c r="A2" s="15"/>
      <x:c r="B2" s="15"/>
      <x:c r="C2" s="15"/>
      <x:c r="D2" s="15"/>
      <x:c r="E2" s="15"/>
      <x:c r="F2" s="15"/>
      <x:c r="G2" s="15"/>
      <x:c r="H2" s="15"/>
      <x:c r="I2" s="15"/>
    </x:row>
    <x:row r="3">
      <x:c r="A3" s="9" t="str">
        <x:v>Source</x:v>
      </x:c>
      <x:c r="B3" s="9" t="str">
        <x:v>Record ID</x:v>
      </x:c>
      <x:c r="C3" s="9" t="str">
        <x:v>Invoice</x:v>
      </x:c>
      <x:c r="D3" s="9" t="str">
        <x:v>Date</x:v>
      </x:c>
      <x:c r="E3" s="9" t="str">
        <x:v>Currency</x:v>
      </x:c>
      <x:c r="F3" s="9" t="str">
        <x:v>Original</x:v>
      </x:c>
      <x:c r="G3" s="9" t="str">
        <x:v>FX rate</x:v>
      </x:c>
      <x:c r="H3" s="9" t="str">
        <x:v>USD normalized</x:v>
      </x:c>
      <x:c r="I3" s="9" t="str">
        <x:v>Reference</x:v>
      </x:c>
    </x:row>
    <x:row r="4">
      <x:c r="A4" s="12" t="str">
        <x:v>Ledger</x:v>
      </x:c>
      <x:c r="B4" s="12" t="str">
        <x:v>GL-210</x:v>
      </x:c>
      <x:c r="C4" s="12" t="str">
        <x:v>BILL-210</x:v>
      </x:c>
      <x:c r="D4" s="12" t="str">
        <x:v>2024-09-27</x:v>
      </x:c>
      <x:c r="E4" s="12" t="str">
        <x:v>CAD</x:v>
      </x:c>
      <x:c r="F4" s="18" t="n">
        <x:f>'Ledger'!E4</x:f>
        <x:v>1500</x:v>
      </x:c>
      <x:c r="G4" s="18" t="n">
        <x:f>'FX_Rates'!C4</x:f>
        <x:v>0.74</x:v>
      </x:c>
      <x:c r="H4" s="18" t="n">
        <x:f>F4*G4</x:f>
        <x:v>1110</x:v>
      </x:c>
      <x:c r="I4" s="12" t="str">
        <x:v>Transaction-date rate</x:v>
      </x:c>
    </x:row>
    <x:row r="5">
      <x:c r="A5" s="12" t="str">
        <x:v>Ledger</x:v>
      </x:c>
      <x:c r="B5" s="12" t="str">
        <x:v>GL-211</x:v>
      </x:c>
      <x:c r="C5" s="12" t="str">
        <x:v>BILL-211</x:v>
      </x:c>
      <x:c r="D5" s="12" t="str">
        <x:v>2024-09-28</x:v>
      </x:c>
      <x:c r="E5" s="12" t="str">
        <x:v>GBP</x:v>
      </x:c>
      <x:c r="F5" s="18" t="n">
        <x:f>'Ledger'!E5</x:f>
        <x:v>800</x:v>
      </x:c>
      <x:c r="G5" s="18" t="n">
        <x:f>'FX_Rates'!C5</x:f>
        <x:v>1.31</x:v>
      </x:c>
      <x:c r="H5" s="18" t="n">
        <x:f>F5*G5</x:f>
        <x:v>1048</x:v>
      </x:c>
      <x:c r="I5" s="12" t="str">
        <x:v>Transaction-date rate</x:v>
      </x:c>
    </x:row>
    <x:row r="6">
      <x:c r="A6" s="12" t="str">
        <x:v>Ledger</x:v>
      </x:c>
      <x:c r="B6" s="12" t="str">
        <x:v>GL-212</x:v>
      </x:c>
      <x:c r="C6" s="12" t="str">
        <x:v>BILL-212</x:v>
      </x:c>
      <x:c r="D6" s="12" t="str">
        <x:v>2024-10-01</x:v>
      </x:c>
      <x:c r="E6" s="12" t="str">
        <x:v>USD</x:v>
      </x:c>
      <x:c r="F6" s="18" t="n">
        <x:f>'Ledger'!E6</x:f>
        <x:v>975</x:v>
      </x:c>
      <x:c r="G6" s="18" t="n">
        <x:f>1</x:f>
        <x:v>1</x:v>
      </x:c>
      <x:c r="H6" s="18" t="n">
        <x:f>F6*G6</x:f>
        <x:v>975</x:v>
      </x:c>
      <x:c r="I6" s="12" t="str">
        <x:v>USD base</x:v>
      </x:c>
    </x:row>
    <x:row r="7">
      <x:c r="A7" s="12" t="str">
        <x:v>Ledger</x:v>
      </x:c>
      <x:c r="B7" s="12" t="str">
        <x:v>GL-215</x:v>
      </x:c>
      <x:c r="C7" s="12" t="str">
        <x:v>BILL-215</x:v>
      </x:c>
      <x:c r="D7" s="12" t="str">
        <x:v>2024-09-29</x:v>
      </x:c>
      <x:c r="E7" s="12" t="str">
        <x:v>USD</x:v>
      </x:c>
      <x:c r="F7" s="18" t="n">
        <x:f>'Ledger'!E7</x:f>
        <x:v>410</x:v>
      </x:c>
      <x:c r="G7" s="18" t="n">
        <x:f>1</x:f>
        <x:v>1</x:v>
      </x:c>
      <x:c r="H7" s="18" t="n">
        <x:f>F7*G7</x:f>
        <x:v>410</x:v>
      </x:c>
      <x:c r="I7" s="12" t="str">
        <x:v>USD base</x:v>
      </x:c>
    </x:row>
    <x:row r="8">
      <x:c r="A8" s="12" t="str">
        <x:v>Ledger</x:v>
      </x:c>
      <x:c r="B8" s="12" t="str">
        <x:v>GL-216</x:v>
      </x:c>
      <x:c r="C8" s="12" t="str">
        <x:v>BILL-216</x:v>
      </x:c>
      <x:c r="D8" s="12" t="str">
        <x:v>2024-09-29</x:v>
      </x:c>
      <x:c r="E8" s="12" t="str">
        <x:v>CAD</x:v>
      </x:c>
      <x:c r="F8" s="18" t="n">
        <x:f>'Ledger'!E8</x:f>
        <x:v>600</x:v>
      </x:c>
      <x:c r="G8" s="18" t="n">
        <x:f>'FX_Rates'!C6</x:f>
        <x:v>0.75</x:v>
      </x:c>
      <x:c r="H8" s="18" t="n">
        <x:f>F8*G8</x:f>
        <x:v>450</x:v>
      </x:c>
      <x:c r="I8" s="12" t="str">
        <x:v>Transaction-date rate</x:v>
      </x:c>
    </x:row>
    <x:row r="9">
      <x:c r="A9" s="12" t="str">
        <x:v>Subledger</x:v>
      </x:c>
      <x:c r="B9" s="12" t="str">
        <x:v>AP-210</x:v>
      </x:c>
      <x:c r="C9" s="12" t="str">
        <x:v>BILL-210</x:v>
      </x:c>
      <x:c r="D9" s="12" t="str">
        <x:v>2024-09-27</x:v>
      </x:c>
      <x:c r="E9" s="12" t="str">
        <x:v>CAD</x:v>
      </x:c>
      <x:c r="F9" s="18" t="n">
        <x:f>'Subledger'!E4</x:f>
        <x:v>1500</x:v>
      </x:c>
      <x:c r="G9" s="18" t="n">
        <x:f>'FX_Rates'!C4</x:f>
        <x:v>0.74</x:v>
      </x:c>
      <x:c r="H9" s="18" t="n">
        <x:f>F9*G9</x:f>
        <x:v>1110</x:v>
      </x:c>
      <x:c r="I9" s="12" t="str">
        <x:v>Transaction-date rate</x:v>
      </x:c>
    </x:row>
    <x:row r="10">
      <x:c r="A10" s="12" t="str">
        <x:v>Subledger</x:v>
      </x:c>
      <x:c r="B10" s="12" t="str">
        <x:v>AP-211</x:v>
      </x:c>
      <x:c r="C10" s="12" t="str">
        <x:v>BILL-211</x:v>
      </x:c>
      <x:c r="D10" s="12" t="str">
        <x:v>2024-09-28</x:v>
      </x:c>
      <x:c r="E10" s="12" t="str">
        <x:v>GBP</x:v>
      </x:c>
      <x:c r="F10" s="18" t="n">
        <x:f>'Subledger'!E5</x:f>
        <x:v>800</x:v>
      </x:c>
      <x:c r="G10" s="18" t="n">
        <x:f>'FX_Rates'!C5</x:f>
        <x:v>1.31</x:v>
      </x:c>
      <x:c r="H10" s="18" t="n">
        <x:f>F10*G10</x:f>
        <x:v>1048</x:v>
      </x:c>
      <x:c r="I10" s="12" t="str">
        <x:v>Transaction-date rate</x:v>
      </x:c>
    </x:row>
    <x:row r="11">
      <x:c r="A11" s="12" t="str">
        <x:v>Subledger</x:v>
      </x:c>
      <x:c r="B11" s="12" t="str">
        <x:v>AP-212</x:v>
      </x:c>
      <x:c r="C11" s="12" t="str">
        <x:v>BILL-212</x:v>
      </x:c>
      <x:c r="D11" s="12" t="str">
        <x:v>2024-10-01</x:v>
      </x:c>
      <x:c r="E11" s="12" t="str">
        <x:v>USD</x:v>
      </x:c>
      <x:c r="F11" s="18" t="n">
        <x:f>'Subledger'!E6</x:f>
        <x:v>975</x:v>
      </x:c>
      <x:c r="G11" s="18" t="n">
        <x:f>1</x:f>
        <x:v>1</x:v>
      </x:c>
      <x:c r="H11" s="18" t="n">
        <x:f>F11*G11</x:f>
        <x:v>975</x:v>
      </x:c>
      <x:c r="I11" s="12" t="str">
        <x:v>USD base</x:v>
      </x:c>
    </x:row>
    <x:row r="12">
      <x:c r="A12" s="12" t="str">
        <x:v>Subledger</x:v>
      </x:c>
      <x:c r="B12" s="12" t="str">
        <x:v>AP-213</x:v>
      </x:c>
      <x:c r="C12" s="12" t="str">
        <x:v>BILL-213</x:v>
      </x:c>
      <x:c r="D12" s="12" t="str">
        <x:v>2024-09-30</x:v>
      </x:c>
      <x:c r="E12" s="12" t="str">
        <x:v>USD</x:v>
      </x:c>
      <x:c r="F12" s="18" t="n">
        <x:f>'Subledger'!E7</x:f>
        <x:v>640</x:v>
      </x:c>
      <x:c r="G12" s="18" t="n">
        <x:f>1</x:f>
        <x:v>1</x:v>
      </x:c>
      <x:c r="H12" s="18" t="n">
        <x:f>F12*G12</x:f>
        <x:v>640</x:v>
      </x:c>
      <x:c r="I12" s="12" t="str">
        <x:v>USD base</x:v>
      </x:c>
    </x:row>
    <x:row r="13">
      <x:c r="A13" s="12" t="str">
        <x:v>Subledger</x:v>
      </x:c>
      <x:c r="B13" s="12" t="str">
        <x:v>AP-215</x:v>
      </x:c>
      <x:c r="C13" s="12" t="str">
        <x:v>BILL-215</x:v>
      </x:c>
      <x:c r="D13" s="12" t="str">
        <x:v>2024-09-29</x:v>
      </x:c>
      <x:c r="E13" s="12" t="str">
        <x:v>USD</x:v>
      </x:c>
      <x:c r="F13" s="18" t="n">
        <x:f>'Subledger'!E8</x:f>
        <x:v>455</x:v>
      </x:c>
      <x:c r="G13" s="18" t="n">
        <x:f>1</x:f>
        <x:v>1</x:v>
      </x:c>
      <x:c r="H13" s="18" t="n">
        <x:f>F13*G13</x:f>
        <x:v>455</x:v>
      </x:c>
      <x:c r="I13" s="12" t="str">
        <x:v>USD base</x:v>
      </x:c>
    </x:row>
  </x:sheetData>
  <x:mergeCells>
    <x:mergeCell ref="A1:I1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6" hidden="0" customWidth="1"/>
    <x:col min="3" max="3" width="19" hidden="0" customWidth="1"/>
    <x:col min="4" max="4" width="18" hidden="0" customWidth="1"/>
    <x:col min="5" max="5" width="21" hidden="0" customWidth="1"/>
    <x:col min="6" max="6" width="17" hidden="0" customWidth="1"/>
    <x:col min="7" max="7" width="16" hidden="0" customWidth="1"/>
    <x:col min="8" max="8" width="32" hidden="0" customWidth="1"/>
  </x:cols>
  <x:sheetData>
    <x:row r="1" ht="26" customHeight="1">
      <x:c r="A1" s="14" t="str">
        <x:v>Matched Reconciliation Items</x:v>
      </x:c>
      <x:c r="B1" s="14"/>
      <x:c r="C1" s="14"/>
      <x:c r="D1" s="14"/>
      <x:c r="E1" s="14"/>
      <x:c r="F1" s="14"/>
      <x:c r="G1" s="14"/>
      <x:c r="H1" s="14"/>
    </x:row>
    <x:row r="2">
      <x:c r="A2" s="15"/>
      <x:c r="B2" s="15"/>
      <x:c r="C2" s="15"/>
      <x:c r="D2" s="15"/>
      <x:c r="E2" s="15"/>
      <x:c r="F2" s="15"/>
      <x:c r="G2" s="15"/>
      <x:c r="H2" s="15"/>
    </x:row>
    <x:row r="3">
      <x:c r="A3" s="9" t="str">
        <x:v>Invoice</x:v>
      </x:c>
      <x:c r="B3" s="9" t="str">
        <x:v>Ledger USD</x:v>
      </x:c>
      <x:c r="C3" s="9" t="str">
        <x:v>Subledger USD</x:v>
      </x:c>
      <x:c r="D3" s="9" t="str">
        <x:v>Adjustment USD</x:v>
      </x:c>
      <x:c r="E3" s="9" t="str">
        <x:v>Adjusted subledger</x:v>
      </x:c>
      <x:c r="F3" s="9" t="str">
        <x:v>Difference</x:v>
      </x:c>
      <x:c r="G3" s="9" t="str">
        <x:v>Status</x:v>
      </x:c>
      <x:c r="H3" s="9" t="str">
        <x:v>Evidence</x:v>
      </x:c>
    </x:row>
    <x:row r="4">
      <x:c r="A4" s="12" t="str">
        <x:v>BILL-210</x:v>
      </x:c>
      <x:c r="B4" s="18" t="n">
        <x:f>'Normalized_Records'!H4</x:f>
        <x:v>1110</x:v>
      </x:c>
      <x:c r="C4" s="18" t="n">
        <x:f>'Normalized_Records'!H9</x:f>
        <x:v>1110</x:v>
      </x:c>
      <x:c r="D4" s="18" t="n">
        <x:f>0</x:f>
        <x:v>0</x:v>
      </x:c>
      <x:c r="E4" s="18" t="n">
        <x:f>C4+D4</x:f>
        <x:v>1110</x:v>
      </x:c>
      <x:c r="F4" s="18" t="n">
        <x:f>B4-E4</x:f>
        <x:v>0</x:v>
      </x:c>
      <x:c r="G4" s="12" t="str">
        <x:f>IF(ABS(F4)&lt;=1,"MATCHED","OUT_OF_TOLERANCE")</x:f>
        <x:v>MATCHED</x:v>
      </x:c>
      <x:c r="H4" s="12" t="str">
        <x:v>Exact invoice / date / currency</x:v>
      </x:c>
    </x:row>
    <x:row r="5">
      <x:c r="A5" s="12" t="str">
        <x:v>BILL-211</x:v>
      </x:c>
      <x:c r="B5" s="18" t="n">
        <x:f>'Normalized_Records'!H5</x:f>
        <x:v>1048</x:v>
      </x:c>
      <x:c r="C5" s="18" t="n">
        <x:f>'Normalized_Records'!H10</x:f>
        <x:v>1048</x:v>
      </x:c>
      <x:c r="D5" s="18" t="n">
        <x:f>0</x:f>
        <x:v>0</x:v>
      </x:c>
      <x:c r="E5" s="18" t="n">
        <x:f>C5+D5</x:f>
        <x:v>1048</x:v>
      </x:c>
      <x:c r="F5" s="18" t="n">
        <x:f>B5-E5</x:f>
        <x:v>0</x:v>
      </x:c>
      <x:c r="G5" s="12" t="str">
        <x:f>IF(ABS(F5)&lt;=1,"MATCHED","OUT_OF_TOLERANCE")</x:f>
        <x:v>MATCHED</x:v>
      </x:c>
      <x:c r="H5" s="12" t="str">
        <x:v>Exact invoice / date / currency</x:v>
      </x:c>
    </x:row>
    <x:row r="6">
      <x:c r="A6" s="12" t="str">
        <x:v>BILL-212</x:v>
      </x:c>
      <x:c r="B6" s="18" t="n">
        <x:f>'Normalized_Records'!H6</x:f>
        <x:v>975</x:v>
      </x:c>
      <x:c r="C6" s="18" t="n">
        <x:f>'Normalized_Records'!H11</x:f>
        <x:v>975</x:v>
      </x:c>
      <x:c r="D6" s="18" t="n">
        <x:f>0</x:f>
        <x:v>0</x:v>
      </x:c>
      <x:c r="E6" s="18" t="n">
        <x:f>C6+D6</x:f>
        <x:v>975</x:v>
      </x:c>
      <x:c r="F6" s="18" t="n">
        <x:f>B6-E6</x:f>
        <x:v>0</x:v>
      </x:c>
      <x:c r="G6" s="12" t="str">
        <x:f>IF(ABS(F6)&lt;=1,"MATCHED","OUT_OF_TOLERANCE")</x:f>
        <x:v>MATCHED</x:v>
      </x:c>
      <x:c r="H6" s="12" t="str">
        <x:v>Exact invoice / USD base</x:v>
      </x:c>
    </x:row>
    <x:row r="7">
      <x:c r="A7" s="12" t="str">
        <x:v>BILL-215</x:v>
      </x:c>
      <x:c r="B7" s="18" t="n">
        <x:f>'Normalized_Records'!H7</x:f>
        <x:v>410</x:v>
      </x:c>
      <x:c r="C7" s="18" t="n">
        <x:f>'Normalized_Records'!H13</x:f>
        <x:v>455</x:v>
      </x:c>
      <x:c r="D7" s="18" t="n">
        <x:f>'Adjustment_Evidence'!C4</x:f>
        <x:v>-45</x:v>
      </x:c>
      <x:c r="E7" s="18" t="n">
        <x:f>C7+D7</x:f>
        <x:v>410</x:v>
      </x:c>
      <x:c r="F7" s="18" t="n">
        <x:f>B7-E7</x:f>
        <x:v>0</x:v>
      </x:c>
      <x:c r="G7" s="12" t="str">
        <x:f>IF(ABS(F7)&lt;=1,"MATCHED","OUT_OF_TOLERANCE")</x:f>
        <x:v>MATCHED</x:v>
      </x:c>
      <x:c r="H7" s="12" t="str">
        <x:v>ADJ-215 applied</x:v>
      </x:c>
    </x:row>
  </x:sheetData>
  <x:mergeCells>
    <x:mergeCell ref="A1:H1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6" hidden="0" customWidth="1"/>
    <x:col min="3" max="3" width="17" hidden="0" customWidth="1"/>
    <x:col min="4" max="4" width="28" hidden="0" customWidth="1"/>
    <x:col min="5" max="5" width="31" hidden="0" customWidth="1"/>
    <x:col min="6" max="6" width="16" hidden="0" customWidth="1"/>
  </x:cols>
  <x:sheetData>
    <x:row r="1" ht="26" customHeight="1">
      <x:c r="A1" s="14" t="str">
        <x:v>Unmatched Items Requiring Investigation</x:v>
      </x:c>
      <x:c r="B1" s="14"/>
      <x:c r="C1" s="14"/>
      <x:c r="D1" s="14"/>
      <x:c r="E1" s="14"/>
      <x:c r="F1" s="14"/>
    </x:row>
    <x:row r="2">
      <x:c r="A2" s="15"/>
      <x:c r="B2" s="15"/>
      <x:c r="C2" s="15"/>
      <x:c r="D2" s="15"/>
      <x:c r="E2" s="15"/>
      <x:c r="F2" s="15"/>
    </x:row>
    <x:row r="3">
      <x:c r="A3" s="9" t="str">
        <x:v>Invoice</x:v>
      </x:c>
      <x:c r="B3" s="9" t="str">
        <x:v>Source</x:v>
      </x:c>
      <x:c r="C3" s="9" t="str">
        <x:v>USD amount</x:v>
      </x:c>
      <x:c r="D3" s="9" t="str">
        <x:v>Reason</x:v>
      </x:c>
      <x:c r="E3" s="9" t="str">
        <x:v>Disposition</x:v>
      </x:c>
      <x:c r="F3" s="9" t="str">
        <x:v>Evidence</x:v>
      </x:c>
    </x:row>
    <x:row r="4">
      <x:c r="A4" s="12" t="str">
        <x:v>BILL-213</x:v>
      </x:c>
      <x:c r="B4" s="12" t="str">
        <x:v>Subledger</x:v>
      </x:c>
      <x:c r="C4" s="18" t="n">
        <x:f>'Normalized_Records'!H12</x:f>
        <x:v>640</x:v>
      </x:c>
      <x:c r="D4" s="12" t="str">
        <x:v>No ledger record</x:v>
      </x:c>
      <x:c r="E4" s="12" t="str">
        <x:v>Retain as subledger exception</x:v>
      </x:c>
      <x:c r="F4" s="12" t="str">
        <x:v>AP-213</x:v>
      </x:c>
    </x:row>
    <x:row r="5">
      <x:c r="A5" s="12" t="str">
        <x:v>BILL-216</x:v>
      </x:c>
      <x:c r="B5" s="12" t="str">
        <x:v>Ledger</x:v>
      </x:c>
      <x:c r="C5" s="18" t="n">
        <x:f>'Normalized_Records'!H8</x:f>
        <x:v>450</x:v>
      </x:c>
      <x:c r="D5" s="12" t="str">
        <x:v>No subledger record</x:v>
      </x:c>
      <x:c r="E5" s="12" t="str">
        <x:v>Retain as ledger exception</x:v>
      </x:c>
      <x:c r="F5" s="12" t="str">
        <x:v>GL-216</x:v>
      </x:c>
    </x:row>
  </x:sheetData>
  <x:mergeCells>
    <x:mergeCell ref="A1:F1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19" hidden="0" customWidth="1"/>
    <x:col min="3" max="3" width="37" hidden="0" customWidth="1"/>
    <x:col min="4" max="4" width="25" hidden="0" customWidth="1"/>
  </x:cols>
  <x:sheetData>
    <x:row r="1" ht="26" customHeight="1">
      <x:c r="A1" s="14" t="str">
        <x:v>Reconciliation Variance Bridge</x:v>
      </x:c>
      <x:c r="B1" s="14"/>
      <x:c r="C1" s="14"/>
      <x:c r="D1" s="14"/>
    </x:row>
    <x:row r="2">
      <x:c r="A2" s="15"/>
      <x:c r="B2" s="15"/>
      <x:c r="C2" s="15"/>
      <x:c r="D2" s="15"/>
    </x:row>
    <x:row r="3">
      <x:c r="A3" s="9" t="str">
        <x:v>Bridge item</x:v>
      </x:c>
      <x:c r="B3" s="9" t="str">
        <x:v>Amount USD</x:v>
      </x:c>
      <x:c r="C3" s="9" t="str">
        <x:v>Meaning</x:v>
      </x:c>
      <x:c r="D3" s="9" t="str">
        <x:v>Evidence</x:v>
      </x:c>
    </x:row>
    <x:row r="4">
      <x:c r="A4" s="12" t="str">
        <x:v>Ledger total</x:v>
      </x:c>
      <x:c r="B4" s="18" t="n">
        <x:f>SUM('Normalized_Records'!H4:H8)</x:f>
        <x:v>3993</x:v>
      </x:c>
      <x:c r="C4" s="12" t="str">
        <x:v>All ledger records</x:v>
      </x:c>
      <x:c r="D4" s="12" t="str">
        <x:v>Normalized_Records</x:v>
      </x:c>
    </x:row>
    <x:row r="5">
      <x:c r="A5" s="12" t="str">
        <x:v>Adjusted matched subledger</x:v>
      </x:c>
      <x:c r="B5" s="18" t="n">
        <x:f>SUM('Matched_Items'!E4:E7)</x:f>
        <x:v>3543</x:v>
      </x:c>
      <x:c r="C5" s="12" t="str">
        <x:v>Matched after approved adjustment</x:v>
      </x:c>
      <x:c r="D5" s="12" t="str">
        <x:v>Matched_Items</x:v>
      </x:c>
    </x:row>
    <x:row r="6">
      <x:c r="A6" s="12" t="str">
        <x:v>Ledger-only exception</x:v>
      </x:c>
      <x:c r="B6" s="18" t="n">
        <x:f>IF('Unmatched_Items'!B4="Ledger",'Unmatched_Items'!C4,0)+IF('Unmatched_Items'!B5="Ledger",'Unmatched_Items'!C5,0)</x:f>
        <x:v>450</x:v>
      </x:c>
      <x:c r="C6" s="12" t="str">
        <x:v>Unmatched ledger amount</x:v>
      </x:c>
      <x:c r="D6" s="12" t="str">
        <x:v>Unmatched_Items</x:v>
      </x:c>
    </x:row>
    <x:row r="7">
      <x:c r="A7" s="12" t="str">
        <x:v>Subledger-only exception</x:v>
      </x:c>
      <x:c r="B7" s="18" t="n">
        <x:f>IF('Unmatched_Items'!B4="Subledger",'Unmatched_Items'!C4,0)+IF('Unmatched_Items'!B5="Subledger",'Unmatched_Items'!C5,0)</x:f>
        <x:v>640</x:v>
      </x:c>
      <x:c r="C7" s="12" t="str">
        <x:v>Unmatched subledger amount</x:v>
      </x:c>
      <x:c r="D7" s="12" t="str">
        <x:v>Unmatched_Items</x:v>
      </x:c>
    </x:row>
    <x:row r="8">
      <x:c r="A8" s="12" t="str">
        <x:v>Net investigation difference</x:v>
      </x:c>
      <x:c r="B8" s="18" t="n">
        <x:f>B7-B6</x:f>
        <x:v>190</x:v>
      </x:c>
      <x:c r="C8" s="12" t="str">
        <x:v>Subledger-only minus ledger-only</x:v>
      </x:c>
      <x:c r="D8" s="12" t="str">
        <x:v>Unmatched_Items</x:v>
      </x:c>
    </x:row>
  </x:sheetData>
  <x:mergeCells>
    <x:mergeCell ref="A1:D1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7" hidden="0" customWidth="1"/>
    <x:col min="2" max="2" width="20" hidden="0" customWidth="1"/>
    <x:col min="3" max="3" width="39" hidden="0" customWidth="1"/>
    <x:col min="4" max="4" width="25" hidden="0" customWidth="1"/>
  </x:cols>
  <x:sheetData>
    <x:row r="1" ht="26" customHeight="1">
      <x:c r="A1" s="14" t="str">
        <x:v>September Reconciliation Decision Sheet</x:v>
      </x:c>
      <x:c r="B1" s="14"/>
      <x:c r="C1" s="14"/>
      <x:c r="D1" s="14"/>
    </x:row>
    <x:row r="2">
      <x:c r="A2" s="15"/>
      <x:c r="B2" s="15"/>
      <x:c r="C2" s="15"/>
      <x:c r="D2" s="15"/>
    </x:row>
    <x:row r="3">
      <x:c r="A3" s="9" t="str">
        <x:v>Metric</x:v>
      </x:c>
      <x:c r="B3" s="9" t="str">
        <x:v>Value</x:v>
      </x:c>
      <x:c r="C3" s="9" t="str">
        <x:v>Decision</x:v>
      </x:c>
      <x:c r="D3" s="9" t="str">
        <x:v>Evidence</x:v>
      </x:c>
    </x:row>
    <x:row r="4">
      <x:c r="A4" s="12" t="str">
        <x:v>Matched invoices</x:v>
      </x:c>
      <x:c r="B4" s="12" t="n">
        <x:f>IF('Matched_Items'!G4="MATCHED",1,0)+IF('Matched_Items'!G5="MATCHED",1,0)+IF('Matched_Items'!G6="MATCHED",1,0)+IF('Matched_Items'!G7="MATCHED",1,0)</x:f>
        <x:v>4</x:v>
      </x:c>
      <x:c r="C4" s="12" t="str">
        <x:v>Four records reconciled within $1 policy tolerance</x:v>
      </x:c>
      <x:c r="D4" s="12" t="str">
        <x:v>Matched_Items</x:v>
      </x:c>
    </x:row>
    <x:row r="5">
      <x:c r="A5" s="12" t="str">
        <x:v>Ledger-only exceptions</x:v>
      </x:c>
      <x:c r="B5" s="18" t="n">
        <x:f>'Variance_Bridge'!B6</x:f>
        <x:v>450</x:v>
      </x:c>
      <x:c r="C5" s="12" t="str">
        <x:v>Retain for investigation</x:v>
      </x:c>
      <x:c r="D5" s="12" t="str">
        <x:v>Unmatched_Items</x:v>
      </x:c>
    </x:row>
    <x:row r="6">
      <x:c r="A6" s="12" t="str">
        <x:v>Subledger-only exceptions</x:v>
      </x:c>
      <x:c r="B6" s="18" t="n">
        <x:f>'Variance_Bridge'!B7</x:f>
        <x:v>640</x:v>
      </x:c>
      <x:c r="C6" s="12" t="str">
        <x:v>Retain for investigation</x:v>
      </x:c>
      <x:c r="D6" s="12" t="str">
        <x:v>Unmatched_Items</x:v>
      </x:c>
    </x:row>
    <x:row r="7">
      <x:c r="A7" s="12" t="str">
        <x:v>Investigation amount</x:v>
      </x:c>
      <x:c r="B7" s="18" t="n">
        <x:f>'Variance_Bridge'!B8</x:f>
        <x:v>190</x:v>
      </x:c>
      <x:c r="C7" s="12" t="str">
        <x:v>Resolve before close</x:v>
      </x:c>
      <x:c r="D7" s="12" t="str">
        <x:v>Variance_Bridge</x:v>
      </x:c>
    </x:row>
  </x:sheetData>
  <x:mergeCells>
    <x:mergeCell ref="A1:D1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20" hidden="0" customWidth="1"/>
    <x:col min="3" max="3" width="19" hidden="0" customWidth="1"/>
    <x:col min="4" max="4" width="35" hidden="0" customWidth="1"/>
  </x:cols>
  <x:sheetData>
    <x:row r="1" ht="26" customHeight="1">
      <x:c r="A1" s="14" t="str">
        <x:v>Reconciliation Integrity Checks</x:v>
      </x:c>
      <x:c r="B1" s="14"/>
      <x:c r="C1" s="14"/>
      <x:c r="D1" s="14"/>
    </x:row>
    <x:row r="2">
      <x:c r="A2" s="15"/>
      <x:c r="B2" s="15"/>
      <x:c r="C2" s="15"/>
      <x:c r="D2" s="15"/>
    </x:row>
    <x:row r="3">
      <x:c r="A3" s="9" t="str">
        <x:v>Check</x:v>
      </x:c>
      <x:c r="B3" s="9" t="str">
        <x:v>Value</x:v>
      </x:c>
      <x:c r="C3" s="9" t="str">
        <x:v>Expected</x:v>
      </x:c>
      <x:c r="D3" s="9" t="str">
        <x:v>Interpretation</x:v>
      </x:c>
    </x:row>
    <x:row r="4">
      <x:c r="A4" s="12" t="str">
        <x:v>Matched item differences</x:v>
      </x:c>
      <x:c r="B4" s="12" t="n">
        <x:f>SUM('Matched_Items'!F4:F7)</x:f>
        <x:v>0</x:v>
      </x:c>
      <x:c r="C4" s="12" t="n">
        <x:v>0</x:v>
      </x:c>
      <x:c r="D4" s="12" t="str">
        <x:v>Each adjusted match closes</x:v>
      </x:c>
    </x:row>
    <x:row r="5">
      <x:c r="A5" s="12" t="str">
        <x:v>Unmatched exception count</x:v>
      </x:c>
      <x:c r="B5" s="12" t="n">
        <x:f>IF('Unmatched_Items'!A4&lt;&gt;"",1,0)+IF('Unmatched_Items'!A5&lt;&gt;"",1,0)</x:f>
        <x:v>2</x:v>
      </x:c>
      <x:c r="C5" s="12" t="n">
        <x:v>2</x:v>
      </x:c>
      <x:c r="D5" s="12" t="str">
        <x:v>Exceptions preserved</x:v>
      </x:c>
    </x:row>
    <x:row r="6">
      <x:c r="A6" s="12" t="str">
        <x:v>Exception bridge closure</x:v>
      </x:c>
      <x:c r="B6" s="12" t="n">
        <x:f>'Final_Reconciliation'!B6-'Final_Reconciliation'!B5-'Final_Reconciliation'!B7</x:f>
        <x:v>0</x:v>
      </x:c>
      <x:c r="C6" s="12" t="n">
        <x:v>0</x:v>
      </x:c>
      <x:c r="D6" s="12" t="str">
        <x:v>Subledger-only minus ledger-only minus investigation</x:v>
      </x:c>
    </x:row>
  </x:sheetData>
  <x:mergeCells>
    <x:mergeCell ref="A1:D1"/>
  </x:mergeCells>
  <x:pageMargins left="0.7" right="0.7" top="0.75" bottom="0.75" header="0.3" footer="0.3"/>
</x:worksheet>
</file>