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065225d5a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ab60de5abda24803"/>
    <x:sheet xmlns:r="http://schemas.openxmlformats.org/officeDocument/2006/relationships" name="Subledger" sheetId="2" r:id="R16bb833390614f8b"/>
    <x:sheet xmlns:r="http://schemas.openxmlformats.org/officeDocument/2006/relationships" name="FX_Rates" sheetId="3" r:id="R2f5d481418064db1"/>
    <x:sheet xmlns:r="http://schemas.openxmlformats.org/officeDocument/2006/relationships" name="Adjustment_Evidence" sheetId="4" r:id="Rdfa907b89fcd459a"/>
    <x:sheet xmlns:r="http://schemas.openxmlformats.org/officeDocument/2006/relationships" name="Normalized_Records" sheetId="5" r:id="R72467eb5f9d44d90"/>
    <x:sheet xmlns:r="http://schemas.openxmlformats.org/officeDocument/2006/relationships" name="Matched_Items" sheetId="6" r:id="R23800e134ba04a21"/>
    <x:sheet xmlns:r="http://schemas.openxmlformats.org/officeDocument/2006/relationships" name="Unmatched_Items" sheetId="7" r:id="R475ab8fbbfae48f3"/>
    <x:sheet xmlns:r="http://schemas.openxmlformats.org/officeDocument/2006/relationships" name="Variance_Bridge" sheetId="8" r:id="R65dc83e1a1fe425b"/>
    <x:sheet xmlns:r="http://schemas.openxmlformats.org/officeDocument/2006/relationships" name="Final_Reconciliation" sheetId="9" r:id="Ra3d4023102ec44df"/>
    <x:sheet xmlns:r="http://schemas.openxmlformats.org/officeDocument/2006/relationships" name="Checks" sheetId="10" r:id="R12fe7e0adbb64b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00"/>
    <x:numFmt numFmtId="202" formatCode="$#,##0"/>
    <x:numFmt numFmtId="203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85be4295094263" /><Relationship Type="http://schemas.openxmlformats.org/officeDocument/2006/relationships/theme" Target="/xl/theme/theme1.xml" Id="R124015df5222413c" /><Relationship Type="http://schemas.openxmlformats.org/officeDocument/2006/relationships/sharedStrings" Target="/xl/sharedStrings.xml" Id="R716eddde54f2488e" /><Relationship Type="http://schemas.openxmlformats.org/officeDocument/2006/relationships/worksheet" Target="/xl/worksheets/sheet1.xml" Id="Rab60de5abda24803" /><Relationship Type="http://schemas.openxmlformats.org/officeDocument/2006/relationships/worksheet" Target="/xl/worksheets/sheet2.xml" Id="R16bb833390614f8b" /><Relationship Type="http://schemas.openxmlformats.org/officeDocument/2006/relationships/worksheet" Target="/xl/worksheets/sheet3.xml" Id="R2f5d481418064db1" /><Relationship Type="http://schemas.openxmlformats.org/officeDocument/2006/relationships/worksheet" Target="/xl/worksheets/sheet4.xml" Id="Rdfa907b89fcd459a" /><Relationship Type="http://schemas.openxmlformats.org/officeDocument/2006/relationships/worksheet" Target="/xl/worksheets/sheet5.xml" Id="R72467eb5f9d44d90" /><Relationship Type="http://schemas.openxmlformats.org/officeDocument/2006/relationships/worksheet" Target="/xl/worksheets/sheet6.xml" Id="R23800e134ba04a21" /><Relationship Type="http://schemas.openxmlformats.org/officeDocument/2006/relationships/worksheet" Target="/xl/worksheets/sheet7.xml" Id="R475ab8fbbfae48f3" /><Relationship Type="http://schemas.openxmlformats.org/officeDocument/2006/relationships/worksheet" Target="/xl/worksheets/sheet8.xml" Id="R65dc83e1a1fe425b" /><Relationship Type="http://schemas.openxmlformats.org/officeDocument/2006/relationships/worksheet" Target="/xl/worksheets/sheet9.xml" Id="Ra3d4023102ec44df" /><Relationship Type="http://schemas.openxmlformats.org/officeDocument/2006/relationships/worksheet" Target="/xl/worksheets/sheet10.xml" Id="R12fe7e0adbb64b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4" hidden="0" customWidth="1"/>
    <x:col min="5" max="5" width="20" hidden="0" customWidth="1"/>
  </x:cols>
  <x:sheetData>
    <x:row r="1" ht="26" customHeight="1">
      <x:c r="A1" s="14" t="str">
        <x:v>General Ledger Extract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Journal ID</x:v>
      </x:c>
      <x:c r="B3" s="9" t="str">
        <x:v>Transaction date</x:v>
      </x:c>
      <x:c r="C3" s="9" t="str">
        <x:v>Invoice</x:v>
      </x:c>
      <x:c r="D3" s="9" t="str">
        <x:v>Currency</x:v>
      </x:c>
      <x:c r="E3" s="9" t="str">
        <x:v>Original amount</x:v>
      </x:c>
    </x:row>
    <x:row r="4">
      <x:c r="A4" s="12" t="str">
        <x:v>LG-100</x:v>
      </x:c>
      <x:c r="B4" s="12" t="str">
        <x:v>2024-06-28</x:v>
      </x:c>
      <x:c r="C4" s="12" t="str">
        <x:v>INV-100</x:v>
      </x:c>
      <x:c r="D4" s="12" t="str">
        <x:v>GBP</x:v>
      </x:c>
      <x:c r="E4" s="13" t="n">
        <x:v>1000</x:v>
      </x:c>
    </x:row>
    <x:row r="5">
      <x:c r="A5" s="12" t="str">
        <x:v>LG-101</x:v>
      </x:c>
      <x:c r="B5" s="12" t="str">
        <x:v>2024-06-30</x:v>
      </x:c>
      <x:c r="C5" s="12" t="str">
        <x:v>INV-101</x:v>
      </x:c>
      <x:c r="D5" s="12" t="str">
        <x:v>EUR</x:v>
      </x:c>
      <x:c r="E5" s="13" t="n">
        <x:v>2000</x:v>
      </x:c>
    </x:row>
    <x:row r="6">
      <x:c r="A6" s="12" t="str">
        <x:v>LG-102</x:v>
      </x:c>
      <x:c r="B6" s="12" t="str">
        <x:v>2024-07-02</x:v>
      </x:c>
      <x:c r="C6" s="12" t="str">
        <x:v>INV-102</x:v>
      </x:c>
      <x:c r="D6" s="12" t="str">
        <x:v>USD</x:v>
      </x:c>
      <x:c r="E6" s="13" t="n">
        <x:v>500</x:v>
      </x:c>
    </x:row>
    <x:row r="7">
      <x:c r="A7" s="12" t="str">
        <x:v>LG-105</x:v>
      </x:c>
      <x:c r="B7" s="12" t="str">
        <x:v>2024-06-30</x:v>
      </x:c>
      <x:c r="C7" s="12" t="str">
        <x:v>INV-105</x:v>
      </x:c>
      <x:c r="D7" s="12" t="str">
        <x:v>USD</x:v>
      </x:c>
      <x:c r="E7" s="13" t="n">
        <x:v>250</x:v>
      </x:c>
    </x:row>
    <x:row r="8">
      <x:c r="A8" s="12" t="str">
        <x:v>LG-106</x:v>
      </x:c>
      <x:c r="B8" s="12" t="str">
        <x:v>2024-06-29</x:v>
      </x:c>
      <x:c r="C8" s="12" t="str">
        <x:v>INV-106</x:v>
      </x:c>
      <x:c r="D8" s="12" t="str">
        <x:v>EUR</x:v>
      </x:c>
      <x:c r="E8" s="13" t="n">
        <x:v>100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4" hidden="0" customWidth="1"/>
    <x:col min="5" max="5" width="20" hidden="0" customWidth="1"/>
  </x:cols>
  <x:sheetData>
    <x:row r="1" ht="26" customHeight="1">
      <x:c r="A1" s="14" t="str">
        <x:v>Counterparty Subledger Extract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Record ID</x:v>
      </x:c>
      <x:c r="B3" s="9" t="str">
        <x:v>Transaction date</x:v>
      </x:c>
      <x:c r="C3" s="9" t="str">
        <x:v>Invoice</x:v>
      </x:c>
      <x:c r="D3" s="9" t="str">
        <x:v>Currency</x:v>
      </x:c>
      <x:c r="E3" s="9" t="str">
        <x:v>Original amount</x:v>
      </x:c>
    </x:row>
    <x:row r="4">
      <x:c r="A4" s="12" t="str">
        <x:v>SL-100</x:v>
      </x:c>
      <x:c r="B4" s="12" t="str">
        <x:v>2024-06-28</x:v>
      </x:c>
      <x:c r="C4" s="12" t="str">
        <x:v>INV-100</x:v>
      </x:c>
      <x:c r="D4" s="12" t="str">
        <x:v>GBP</x:v>
      </x:c>
      <x:c r="E4" s="13" t="n">
        <x:v>1000</x:v>
      </x:c>
    </x:row>
    <x:row r="5">
      <x:c r="A5" s="12" t="str">
        <x:v>SL-101</x:v>
      </x:c>
      <x:c r="B5" s="12" t="str">
        <x:v>2024-06-30</x:v>
      </x:c>
      <x:c r="C5" s="12" t="str">
        <x:v>INV-101</x:v>
      </x:c>
      <x:c r="D5" s="12" t="str">
        <x:v>EUR</x:v>
      </x:c>
      <x:c r="E5" s="13" t="n">
        <x:v>2000</x:v>
      </x:c>
    </x:row>
    <x:row r="6">
      <x:c r="A6" s="12" t="str">
        <x:v>SL-102</x:v>
      </x:c>
      <x:c r="B6" s="12" t="str">
        <x:v>2024-07-02</x:v>
      </x:c>
      <x:c r="C6" s="12" t="str">
        <x:v>INV-102</x:v>
      </x:c>
      <x:c r="D6" s="12" t="str">
        <x:v>USD</x:v>
      </x:c>
      <x:c r="E6" s="13" t="n">
        <x:v>500</x:v>
      </x:c>
    </x:row>
    <x:row r="7">
      <x:c r="A7" s="12" t="str">
        <x:v>SL-103</x:v>
      </x:c>
      <x:c r="B7" s="12" t="str">
        <x:v>2024-06-30</x:v>
      </x:c>
      <x:c r="C7" s="12" t="str">
        <x:v>INV-103</x:v>
      </x:c>
      <x:c r="D7" s="12" t="str">
        <x:v>USD</x:v>
      </x:c>
      <x:c r="E7" s="13" t="n">
        <x:v>720</x:v>
      </x:c>
    </x:row>
    <x:row r="8">
      <x:c r="A8" s="12" t="str">
        <x:v>SL-105</x:v>
      </x:c>
      <x:c r="B8" s="12" t="str">
        <x:v>2024-06-30</x:v>
      </x:c>
      <x:c r="C8" s="12" t="str">
        <x:v>INV-105</x:v>
      </x:c>
      <x:c r="D8" s="12" t="str">
        <x:v>USD</x:v>
      </x:c>
      <x:c r="E8" s="13" t="n">
        <x:v>300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8" hidden="0" customWidth="1"/>
    <x:col min="4" max="4" width="26" hidden="0" customWidth="1"/>
  </x:cols>
  <x:sheetData>
    <x:row r="1" ht="26" customHeight="1">
      <x:c r="A1" s="14" t="str">
        <x:v>Transaction-date FX Rates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Date</x:v>
      </x:c>
      <x:c r="B3" s="9" t="str">
        <x:v>Currency</x:v>
      </x:c>
      <x:c r="C3" s="9" t="str">
        <x:v>USD per unit</x:v>
      </x:c>
      <x:c r="D3" s="9" t="str">
        <x:v>Authority</x:v>
      </x:c>
    </x:row>
    <x:row r="4">
      <x:c r="A4" s="12" t="str">
        <x:v>2024-06-28</x:v>
      </x:c>
      <x:c r="B4" s="12" t="str">
        <x:v>GBP</x:v>
      </x:c>
      <x:c r="C4" s="16" t="n">
        <x:v>1.25</x:v>
      </x:c>
      <x:c r="D4" s="12" t="str">
        <x:v>Policy rate table</x:v>
      </x:c>
    </x:row>
    <x:row r="5">
      <x:c r="A5" s="12" t="str">
        <x:v>2024-06-29</x:v>
      </x:c>
      <x:c r="B5" s="12" t="str">
        <x:v>EUR</x:v>
      </x:c>
      <x:c r="C5" s="16" t="n">
        <x:v>1.06</x:v>
      </x:c>
      <x:c r="D5" s="12" t="str">
        <x:v>Policy rate table</x:v>
      </x:c>
    </x:row>
    <x:row r="6">
      <x:c r="A6" s="12" t="str">
        <x:v>2024-06-30</x:v>
      </x:c>
      <x:c r="B6" s="12" t="str">
        <x:v>EUR</x:v>
      </x:c>
      <x:c r="C6" s="16" t="n">
        <x:v>1.07</x:v>
      </x:c>
      <x:c r="D6" s="12" t="str">
        <x:v>Policy rate table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54" hidden="0" customWidth="1"/>
    <x:col min="5" max="5" width="32" hidden="0" customWidth="1"/>
  </x:cols>
  <x:sheetData>
    <x:row r="1" ht="26" customHeight="1">
      <x:c r="A1" s="14" t="str">
        <x:v>Approved Reconciliation Adjustment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Adjustment ID</x:v>
      </x:c>
      <x:c r="B3" s="9" t="str">
        <x:v>Invoice</x:v>
      </x:c>
      <x:c r="C3" s="9" t="str">
        <x:v>Amount USD</x:v>
      </x:c>
      <x:c r="D3" s="9" t="str">
        <x:v>Reason</x:v>
      </x:c>
      <x:c r="E3" s="9" t="str">
        <x:v>Treatment</x:v>
      </x:c>
    </x:row>
    <x:row r="4">
      <x:c r="A4" s="12" t="str">
        <x:v>ADJ-105</x:v>
      </x:c>
      <x:c r="B4" s="12" t="str">
        <x:v>INV-105</x:v>
      </x:c>
      <x:c r="C4" s="17" t="n">
        <x:v>-50</x:v>
      </x:c>
      <x:c r="D4" s="12" t="str">
        <x:v>Approved timing adjustment from $300 subledger to $250 ledger</x:v>
      </x:c>
      <x:c r="E4" s="12" t="str">
        <x:v>Apply before tolerance match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7" hidden="0" customWidth="1"/>
    <x:col min="5" max="5" width="14" hidden="0" customWidth="1"/>
    <x:col min="6" max="6" width="16" hidden="0" customWidth="1"/>
    <x:col min="7" max="7" width="14" hidden="0" customWidth="1"/>
    <x:col min="8" max="8" width="19" hidden="0" customWidth="1"/>
    <x:col min="9" max="9" width="25" hidden="0" customWidth="1"/>
  </x:cols>
  <x:sheetData>
    <x:row r="1" ht="26" customHeight="1">
      <x:c r="A1" s="14" t="str">
        <x:v>Normalized Reconciliation Records</x:v>
      </x:c>
      <x:c r="B1" s="14"/>
      <x:c r="C1" s="14"/>
      <x:c r="D1" s="14"/>
      <x:c r="E1" s="14"/>
      <x:c r="F1" s="14"/>
      <x:c r="G1" s="14"/>
      <x:c r="H1" s="14"/>
      <x:c r="I1" s="14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</x:row>
    <x:row r="3">
      <x:c r="A3" s="9" t="str">
        <x:v>Source</x:v>
      </x:c>
      <x:c r="B3" s="9" t="str">
        <x:v>Record ID</x:v>
      </x:c>
      <x:c r="C3" s="9" t="str">
        <x:v>Invoice</x:v>
      </x:c>
      <x:c r="D3" s="9" t="str">
        <x:v>Date</x:v>
      </x:c>
      <x:c r="E3" s="9" t="str">
        <x:v>Currency</x:v>
      </x:c>
      <x:c r="F3" s="9" t="str">
        <x:v>Original</x:v>
      </x:c>
      <x:c r="G3" s="9" t="str">
        <x:v>FX rate</x:v>
      </x:c>
      <x:c r="H3" s="9" t="str">
        <x:v>USD normalized</x:v>
      </x:c>
      <x:c r="I3" s="9" t="str">
        <x:v>Reference</x:v>
      </x:c>
    </x:row>
    <x:row r="4">
      <x:c r="A4" s="12" t="str">
        <x:v>Ledger</x:v>
      </x:c>
      <x:c r="B4" s="12" t="str">
        <x:v>LG-100</x:v>
      </x:c>
      <x:c r="C4" s="12" t="str">
        <x:v>INV-100</x:v>
      </x:c>
      <x:c r="D4" s="12" t="str">
        <x:v>2024-06-28</x:v>
      </x:c>
      <x:c r="E4" s="12" t="str">
        <x:v>GBP</x:v>
      </x:c>
      <x:c r="F4" s="18" t="n">
        <x:f>'Ledger'!E4</x:f>
        <x:v>1000</x:v>
      </x:c>
      <x:c r="G4" s="18" t="n">
        <x:f>'FX_Rates'!C4</x:f>
        <x:v>1.25</x:v>
      </x:c>
      <x:c r="H4" s="18" t="n">
        <x:f>F4*G4</x:f>
        <x:v>1250</x:v>
      </x:c>
      <x:c r="I4" s="12" t="str">
        <x:v>Transaction-date rate</x:v>
      </x:c>
    </x:row>
    <x:row r="5">
      <x:c r="A5" s="12" t="str">
        <x:v>Ledger</x:v>
      </x:c>
      <x:c r="B5" s="12" t="str">
        <x:v>LG-101</x:v>
      </x:c>
      <x:c r="C5" s="12" t="str">
        <x:v>INV-101</x:v>
      </x:c>
      <x:c r="D5" s="12" t="str">
        <x:v>2024-06-30</x:v>
      </x:c>
      <x:c r="E5" s="12" t="str">
        <x:v>EUR</x:v>
      </x:c>
      <x:c r="F5" s="18" t="n">
        <x:f>'Ledger'!E5</x:f>
        <x:v>2000</x:v>
      </x:c>
      <x:c r="G5" s="18" t="n">
        <x:f>'FX_Rates'!C6</x:f>
        <x:v>1.07</x:v>
      </x:c>
      <x:c r="H5" s="18" t="n">
        <x:f>F5*G5</x:f>
        <x:v>2140</x:v>
      </x:c>
      <x:c r="I5" s="12" t="str">
        <x:v>Transaction-date rate</x:v>
      </x:c>
    </x:row>
    <x:row r="6">
      <x:c r="A6" s="12" t="str">
        <x:v>Ledger</x:v>
      </x:c>
      <x:c r="B6" s="12" t="str">
        <x:v>LG-102</x:v>
      </x:c>
      <x:c r="C6" s="12" t="str">
        <x:v>INV-102</x:v>
      </x:c>
      <x:c r="D6" s="12" t="str">
        <x:v>2024-07-02</x:v>
      </x:c>
      <x:c r="E6" s="12" t="str">
        <x:v>USD</x:v>
      </x:c>
      <x:c r="F6" s="18" t="n">
        <x:f>'Ledger'!E6</x:f>
        <x:v>500</x:v>
      </x:c>
      <x:c r="G6" s="18" t="n">
        <x:f>1</x:f>
        <x:v>1</x:v>
      </x:c>
      <x:c r="H6" s="18" t="n">
        <x:f>F6*G6</x:f>
        <x:v>500</x:v>
      </x:c>
      <x:c r="I6" s="12" t="str">
        <x:v>USD base</x:v>
      </x:c>
    </x:row>
    <x:row r="7">
      <x:c r="A7" s="12" t="str">
        <x:v>Ledger</x:v>
      </x:c>
      <x:c r="B7" s="12" t="str">
        <x:v>LG-105</x:v>
      </x:c>
      <x:c r="C7" s="12" t="str">
        <x:v>INV-105</x:v>
      </x:c>
      <x:c r="D7" s="12" t="str">
        <x:v>2024-06-30</x:v>
      </x:c>
      <x:c r="E7" s="12" t="str">
        <x:v>USD</x:v>
      </x:c>
      <x:c r="F7" s="18" t="n">
        <x:f>'Ledger'!E7</x:f>
        <x:v>250</x:v>
      </x:c>
      <x:c r="G7" s="18" t="n">
        <x:f>1</x:f>
        <x:v>1</x:v>
      </x:c>
      <x:c r="H7" s="18" t="n">
        <x:f>F7*G7</x:f>
        <x:v>250</x:v>
      </x:c>
      <x:c r="I7" s="12" t="str">
        <x:v>USD base</x:v>
      </x:c>
    </x:row>
    <x:row r="8">
      <x:c r="A8" s="12" t="str">
        <x:v>Ledger</x:v>
      </x:c>
      <x:c r="B8" s="12" t="str">
        <x:v>LG-106</x:v>
      </x:c>
      <x:c r="C8" s="12" t="str">
        <x:v>INV-106</x:v>
      </x:c>
      <x:c r="D8" s="12" t="str">
        <x:v>2024-06-29</x:v>
      </x:c>
      <x:c r="E8" s="12" t="str">
        <x:v>EUR</x:v>
      </x:c>
      <x:c r="F8" s="18" t="n">
        <x:f>'Ledger'!E8</x:f>
        <x:v>100</x:v>
      </x:c>
      <x:c r="G8" s="18" t="n">
        <x:f>'FX_Rates'!C5</x:f>
        <x:v>1.06</x:v>
      </x:c>
      <x:c r="H8" s="18" t="n">
        <x:f>F8*G8</x:f>
        <x:v>106</x:v>
      </x:c>
      <x:c r="I8" s="12" t="str">
        <x:v>Transaction-date rate</x:v>
      </x:c>
    </x:row>
    <x:row r="9">
      <x:c r="A9" s="12" t="str">
        <x:v>Subledger</x:v>
      </x:c>
      <x:c r="B9" s="12" t="str">
        <x:v>SL-100</x:v>
      </x:c>
      <x:c r="C9" s="12" t="str">
        <x:v>INV-100</x:v>
      </x:c>
      <x:c r="D9" s="12" t="str">
        <x:v>2024-06-28</x:v>
      </x:c>
      <x:c r="E9" s="12" t="str">
        <x:v>GBP</x:v>
      </x:c>
      <x:c r="F9" s="18" t="n">
        <x:f>'Subledger'!E4</x:f>
        <x:v>1000</x:v>
      </x:c>
      <x:c r="G9" s="18" t="n">
        <x:f>'FX_Rates'!C4</x:f>
        <x:v>1.25</x:v>
      </x:c>
      <x:c r="H9" s="18" t="n">
        <x:f>F9*G9</x:f>
        <x:v>1250</x:v>
      </x:c>
      <x:c r="I9" s="12" t="str">
        <x:v>Transaction-date rate</x:v>
      </x:c>
    </x:row>
    <x:row r="10">
      <x:c r="A10" s="12" t="str">
        <x:v>Subledger</x:v>
      </x:c>
      <x:c r="B10" s="12" t="str">
        <x:v>SL-101</x:v>
      </x:c>
      <x:c r="C10" s="12" t="str">
        <x:v>INV-101</x:v>
      </x:c>
      <x:c r="D10" s="12" t="str">
        <x:v>2024-06-30</x:v>
      </x:c>
      <x:c r="E10" s="12" t="str">
        <x:v>EUR</x:v>
      </x:c>
      <x:c r="F10" s="18" t="n">
        <x:f>'Subledger'!E5</x:f>
        <x:v>2000</x:v>
      </x:c>
      <x:c r="G10" s="18" t="n">
        <x:f>'FX_Rates'!C6</x:f>
        <x:v>1.07</x:v>
      </x:c>
      <x:c r="H10" s="18" t="n">
        <x:f>F10*G10</x:f>
        <x:v>2140</x:v>
      </x:c>
      <x:c r="I10" s="12" t="str">
        <x:v>Transaction-date rate</x:v>
      </x:c>
    </x:row>
    <x:row r="11">
      <x:c r="A11" s="12" t="str">
        <x:v>Subledger</x:v>
      </x:c>
      <x:c r="B11" s="12" t="str">
        <x:v>SL-102</x:v>
      </x:c>
      <x:c r="C11" s="12" t="str">
        <x:v>INV-102</x:v>
      </x:c>
      <x:c r="D11" s="12" t="str">
        <x:v>2024-07-02</x:v>
      </x:c>
      <x:c r="E11" s="12" t="str">
        <x:v>USD</x:v>
      </x:c>
      <x:c r="F11" s="18" t="n">
        <x:f>'Subledger'!E6</x:f>
        <x:v>500</x:v>
      </x:c>
      <x:c r="G11" s="18" t="n">
        <x:f>1</x:f>
        <x:v>1</x:v>
      </x:c>
      <x:c r="H11" s="18" t="n">
        <x:f>F11*G11</x:f>
        <x:v>500</x:v>
      </x:c>
      <x:c r="I11" s="12" t="str">
        <x:v>USD base</x:v>
      </x:c>
    </x:row>
    <x:row r="12">
      <x:c r="A12" s="12" t="str">
        <x:v>Subledger</x:v>
      </x:c>
      <x:c r="B12" s="12" t="str">
        <x:v>SL-103</x:v>
      </x:c>
      <x:c r="C12" s="12" t="str">
        <x:v>INV-103</x:v>
      </x:c>
      <x:c r="D12" s="12" t="str">
        <x:v>2024-06-30</x:v>
      </x:c>
      <x:c r="E12" s="12" t="str">
        <x:v>USD</x:v>
      </x:c>
      <x:c r="F12" s="18" t="n">
        <x:f>'Subledger'!E7</x:f>
        <x:v>720</x:v>
      </x:c>
      <x:c r="G12" s="18" t="n">
        <x:f>1</x:f>
        <x:v>1</x:v>
      </x:c>
      <x:c r="H12" s="18" t="n">
        <x:f>F12*G12</x:f>
        <x:v>720</x:v>
      </x:c>
      <x:c r="I12" s="12" t="str">
        <x:v>USD base</x:v>
      </x:c>
    </x:row>
    <x:row r="13">
      <x:c r="A13" s="12" t="str">
        <x:v>Subledger</x:v>
      </x:c>
      <x:c r="B13" s="12" t="str">
        <x:v>SL-105</x:v>
      </x:c>
      <x:c r="C13" s="12" t="str">
        <x:v>INV-105</x:v>
      </x:c>
      <x:c r="D13" s="12" t="str">
        <x:v>2024-06-30</x:v>
      </x:c>
      <x:c r="E13" s="12" t="str">
        <x:v>USD</x:v>
      </x:c>
      <x:c r="F13" s="18" t="n">
        <x:f>'Subledger'!E8</x:f>
        <x:v>300</x:v>
      </x:c>
      <x:c r="G13" s="18" t="n">
        <x:f>1</x:f>
        <x:v>1</x:v>
      </x:c>
      <x:c r="H13" s="18" t="n">
        <x:f>F13*G13</x:f>
        <x:v>300</x:v>
      </x:c>
      <x:c r="I13" s="12" t="str">
        <x:v>USD base</x:v>
      </x:c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9" hidden="0" customWidth="1"/>
    <x:col min="4" max="4" width="18" hidden="0" customWidth="1"/>
    <x:col min="5" max="5" width="21" hidden="0" customWidth="1"/>
    <x:col min="6" max="6" width="17" hidden="0" customWidth="1"/>
    <x:col min="7" max="7" width="16" hidden="0" customWidth="1"/>
    <x:col min="8" max="8" width="32" hidden="0" customWidth="1"/>
  </x:cols>
  <x:sheetData>
    <x:row r="1" ht="26" customHeight="1">
      <x:c r="A1" s="14" t="str">
        <x:v>Matched Reconciliation Items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Invoice</x:v>
      </x:c>
      <x:c r="B3" s="9" t="str">
        <x:v>Ledger USD</x:v>
      </x:c>
      <x:c r="C3" s="9" t="str">
        <x:v>Subledger USD</x:v>
      </x:c>
      <x:c r="D3" s="9" t="str">
        <x:v>Adjustment USD</x:v>
      </x:c>
      <x:c r="E3" s="9" t="str">
        <x:v>Adjusted subledger</x:v>
      </x:c>
      <x:c r="F3" s="9" t="str">
        <x:v>Difference</x:v>
      </x:c>
      <x:c r="G3" s="9" t="str">
        <x:v>Status</x:v>
      </x:c>
      <x:c r="H3" s="9" t="str">
        <x:v>Evidence</x:v>
      </x:c>
    </x:row>
    <x:row r="4">
      <x:c r="A4" s="12" t="str">
        <x:v>INV-100</x:v>
      </x:c>
      <x:c r="B4" s="18" t="n">
        <x:f>'Normalized_Records'!H4</x:f>
        <x:v>1250</x:v>
      </x:c>
      <x:c r="C4" s="18" t="n">
        <x:f>'Normalized_Records'!H9</x:f>
        <x:v>1250</x:v>
      </x:c>
      <x:c r="D4" s="18" t="n">
        <x:f>0</x:f>
        <x:v>0</x:v>
      </x:c>
      <x:c r="E4" s="18" t="n">
        <x:f>C4+D4</x:f>
        <x:v>1250</x:v>
      </x:c>
      <x:c r="F4" s="18" t="n">
        <x:f>B4-E4</x:f>
        <x:v>0</x:v>
      </x:c>
      <x:c r="G4" s="12" t="str">
        <x:f>IF(ABS(F4)&lt;=1,"MATCHED","OUT_OF_TOLERANCE")</x:f>
        <x:v>MATCHED</x:v>
      </x:c>
      <x:c r="H4" s="12" t="str">
        <x:v>Exact invoice / date / currency</x:v>
      </x:c>
    </x:row>
    <x:row r="5">
      <x:c r="A5" s="12" t="str">
        <x:v>INV-101</x:v>
      </x:c>
      <x:c r="B5" s="18" t="n">
        <x:f>'Normalized_Records'!H5</x:f>
        <x:v>2140</x:v>
      </x:c>
      <x:c r="C5" s="18" t="n">
        <x:f>'Normalized_Records'!H10</x:f>
        <x:v>2140</x:v>
      </x:c>
      <x:c r="D5" s="18" t="n">
        <x:f>0</x:f>
        <x:v>0</x:v>
      </x:c>
      <x:c r="E5" s="18" t="n">
        <x:f>C5+D5</x:f>
        <x:v>2140</x:v>
      </x:c>
      <x:c r="F5" s="18" t="n">
        <x:f>B5-E5</x:f>
        <x:v>0</x:v>
      </x:c>
      <x:c r="G5" s="12" t="str">
        <x:f>IF(ABS(F5)&lt;=1,"MATCHED","OUT_OF_TOLERANCE")</x:f>
        <x:v>MATCHED</x:v>
      </x:c>
      <x:c r="H5" s="12" t="str">
        <x:v>Exact invoice / date / currency</x:v>
      </x:c>
    </x:row>
    <x:row r="6">
      <x:c r="A6" s="12" t="str">
        <x:v>INV-102</x:v>
      </x:c>
      <x:c r="B6" s="18" t="n">
        <x:f>'Normalized_Records'!H6</x:f>
        <x:v>500</x:v>
      </x:c>
      <x:c r="C6" s="18" t="n">
        <x:f>'Normalized_Records'!H11</x:f>
        <x:v>500</x:v>
      </x:c>
      <x:c r="D6" s="18" t="n">
        <x:f>0</x:f>
        <x:v>0</x:v>
      </x:c>
      <x:c r="E6" s="18" t="n">
        <x:f>C6+D6</x:f>
        <x:v>500</x:v>
      </x:c>
      <x:c r="F6" s="18" t="n">
        <x:f>B6-E6</x:f>
        <x:v>0</x:v>
      </x:c>
      <x:c r="G6" s="12" t="str">
        <x:f>IF(ABS(F6)&lt;=1,"MATCHED","OUT_OF_TOLERANCE")</x:f>
        <x:v>MATCHED</x:v>
      </x:c>
      <x:c r="H6" s="12" t="str">
        <x:v>Exact invoice / date / currency</x:v>
      </x:c>
    </x:row>
    <x:row r="7">
      <x:c r="A7" s="12" t="str">
        <x:v>INV-103</x:v>
      </x:c>
      <x:c r="B7" s="18" t="n">
        <x:f>'Normalized_Records'!H7</x:f>
        <x:v>250</x:v>
      </x:c>
      <x:c r="C7" s="18" t="n">
        <x:f>'Normalized_Records'!H13</x:f>
        <x:v>300</x:v>
      </x:c>
      <x:c r="D7" s="18" t="n">
        <x:f>'Adjustment_Evidence'!C4</x:f>
        <x:v>-50</x:v>
      </x:c>
      <x:c r="E7" s="18" t="n">
        <x:f>C7+D7</x:f>
        <x:v>250</x:v>
      </x:c>
      <x:c r="F7" s="18" t="n">
        <x:f>B7-E7</x:f>
        <x:v>0</x:v>
      </x:c>
      <x:c r="G7" s="12" t="str">
        <x:f>IF(ABS(F7)&lt;=1,"MATCHED","OUT_OF_TOLERANCE")</x:f>
        <x:v>MATCHED</x:v>
      </x:c>
      <x:c r="H7" s="12" t="str">
        <x:v>ADJ-105 applied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28" hidden="0" customWidth="1"/>
    <x:col min="5" max="5" width="31" hidden="0" customWidth="1"/>
    <x:col min="6" max="6" width="16" hidden="0" customWidth="1"/>
  </x:cols>
  <x:sheetData>
    <x:row r="1" ht="26" customHeight="1">
      <x:c r="A1" s="14" t="str">
        <x:v>Unmatched Items Requiring Investigation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9" t="str">
        <x:v>Invoice</x:v>
      </x:c>
      <x:c r="B3" s="9" t="str">
        <x:v>Source</x:v>
      </x:c>
      <x:c r="C3" s="9" t="str">
        <x:v>USD amount</x:v>
      </x:c>
      <x:c r="D3" s="9" t="str">
        <x:v>Reason</x:v>
      </x:c>
      <x:c r="E3" s="9" t="str">
        <x:v>Disposition</x:v>
      </x:c>
      <x:c r="F3" s="9" t="str">
        <x:v>Evidence</x:v>
      </x:c>
    </x:row>
    <x:row r="4">
      <x:c r="A4" s="12" t="str">
        <x:v>INV-103</x:v>
      </x:c>
      <x:c r="B4" s="12" t="str">
        <x:v>Subledger</x:v>
      </x:c>
      <x:c r="C4" s="18" t="n">
        <x:f>'Normalized_Records'!H12</x:f>
        <x:v>720</x:v>
      </x:c>
      <x:c r="D4" s="12" t="str">
        <x:v>No ledger record</x:v>
      </x:c>
      <x:c r="E4" s="12" t="str">
        <x:v>Retain as subledger exception</x:v>
      </x:c>
      <x:c r="F4" s="12" t="str">
        <x:v>SL-103</x:v>
      </x:c>
    </x:row>
    <x:row r="5">
      <x:c r="A5" s="12" t="str">
        <x:v>INV-106</x:v>
      </x:c>
      <x:c r="B5" s="12" t="str">
        <x:v>Ledger</x:v>
      </x:c>
      <x:c r="C5" s="18" t="n">
        <x:f>'Normalized_Records'!H8</x:f>
        <x:v>106</x:v>
      </x:c>
      <x:c r="D5" s="12" t="str">
        <x:v>No subledger record</x:v>
      </x:c>
      <x:c r="E5" s="12" t="str">
        <x:v>Retain as ledger exception</x:v>
      </x:c>
      <x:c r="F5" s="12" t="str">
        <x:v>LG-106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37" hidden="0" customWidth="1"/>
    <x:col min="4" max="4" width="25" hidden="0" customWidth="1"/>
  </x:cols>
  <x:sheetData>
    <x:row r="1" ht="26" customHeight="1">
      <x:c r="A1" s="14" t="str">
        <x:v>Reconciliation Variance Bridge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Bridge item</x:v>
      </x:c>
      <x:c r="B3" s="9" t="str">
        <x:v>Amount USD</x:v>
      </x:c>
      <x:c r="C3" s="9" t="str">
        <x:v>Meaning</x:v>
      </x:c>
      <x:c r="D3" s="9" t="str">
        <x:v>Evidence</x:v>
      </x:c>
    </x:row>
    <x:row r="4">
      <x:c r="A4" s="12" t="str">
        <x:v>Ledger total</x:v>
      </x:c>
      <x:c r="B4" s="18" t="n">
        <x:f>SUM('Normalized_Records'!H4:H8)</x:f>
        <x:v>4246</x:v>
      </x:c>
      <x:c r="C4" s="12" t="str">
        <x:v>All ledger records</x:v>
      </x:c>
      <x:c r="D4" s="12" t="str">
        <x:v>Normalized_Records</x:v>
      </x:c>
    </x:row>
    <x:row r="5">
      <x:c r="A5" s="12" t="str">
        <x:v>Adjusted matched subledger</x:v>
      </x:c>
      <x:c r="B5" s="18" t="n">
        <x:f>SUM('Matched_Items'!E4:E7)</x:f>
        <x:v>4140</x:v>
      </x:c>
      <x:c r="C5" s="12" t="str">
        <x:v>Matched after approved adjustment</x:v>
      </x:c>
      <x:c r="D5" s="12" t="str">
        <x:v>Matched_Items</x:v>
      </x:c>
    </x:row>
    <x:row r="6">
      <x:c r="A6" s="12" t="str">
        <x:v>Ledger-only exception</x:v>
      </x:c>
      <x:c r="B6" s="18" t="n">
        <x:f>IF('Unmatched_Items'!B4="Ledger",'Unmatched_Items'!C4,0)+IF('Unmatched_Items'!B5="Ledger",'Unmatched_Items'!C5,0)</x:f>
        <x:v>106</x:v>
      </x:c>
      <x:c r="C6" s="12" t="str">
        <x:v>Unmatched ledger amount</x:v>
      </x:c>
      <x:c r="D6" s="12" t="str">
        <x:v>Unmatched_Items</x:v>
      </x:c>
    </x:row>
    <x:row r="7">
      <x:c r="A7" s="12" t="str">
        <x:v>Subledger-only exception</x:v>
      </x:c>
      <x:c r="B7" s="18" t="n">
        <x:f>IF('Unmatched_Items'!B4="Subledger",'Unmatched_Items'!C4,0)+IF('Unmatched_Items'!B5="Subledger",'Unmatched_Items'!C5,0)</x:f>
        <x:v>720</x:v>
      </x:c>
      <x:c r="C7" s="12" t="str">
        <x:v>Unmatched subledger amount</x:v>
      </x:c>
      <x:c r="D7" s="12" t="str">
        <x:v>Unmatched_Items</x:v>
      </x:c>
    </x:row>
    <x:row r="8">
      <x:c r="A8" s="12" t="str">
        <x:v>Net investigation difference</x:v>
      </x:c>
      <x:c r="B8" s="18" t="n">
        <x:f>B7-B6</x:f>
        <x:v>614</x:v>
      </x:c>
      <x:c r="C8" s="12" t="str">
        <x:v>Subledger-only minus ledger-only</x:v>
      </x:c>
      <x:c r="D8" s="12" t="str">
        <x:v>Unmatched_Items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9" hidden="0" customWidth="1"/>
    <x:col min="4" max="4" width="25" hidden="0" customWidth="1"/>
  </x:cols>
  <x:sheetData>
    <x:row r="1" ht="26" customHeight="1">
      <x:c r="A1" s="14" t="str">
        <x:v>June Reconciliation Decision Sheet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Decision</x:v>
      </x:c>
      <x:c r="D3" s="9" t="str">
        <x:v>Evidence</x:v>
      </x:c>
    </x:row>
    <x:row r="4">
      <x:c r="A4" s="12" t="str">
        <x:v>Matched invoices</x:v>
      </x:c>
      <x:c r="B4" s="12" t="n">
        <x:f>IF('Matched_Items'!G4="MATCHED",1,0)+IF('Matched_Items'!G5="MATCHED",1,0)+IF('Matched_Items'!G6="MATCHED",1,0)+IF('Matched_Items'!G7="MATCHED",1,0)</x:f>
        <x:v>4</x:v>
      </x:c>
      <x:c r="C4" s="12" t="str">
        <x:v>Four records reconciled within $1 policy tolerance</x:v>
      </x:c>
      <x:c r="D4" s="12" t="str">
        <x:v>Matched_Items</x:v>
      </x:c>
    </x:row>
    <x:row r="5">
      <x:c r="A5" s="12" t="str">
        <x:v>Ledger-only exceptions</x:v>
      </x:c>
      <x:c r="B5" s="18" t="n">
        <x:f>'Variance_Bridge'!B6</x:f>
        <x:v>106</x:v>
      </x:c>
      <x:c r="C5" s="12" t="str">
        <x:v>Retain for investigation</x:v>
      </x:c>
      <x:c r="D5" s="12" t="str">
        <x:v>Unmatched_Items</x:v>
      </x:c>
    </x:row>
    <x:row r="6">
      <x:c r="A6" s="12" t="str">
        <x:v>Subledger-only exceptions</x:v>
      </x:c>
      <x:c r="B6" s="18" t="n">
        <x:f>'Variance_Bridge'!B7</x:f>
        <x:v>720</x:v>
      </x:c>
      <x:c r="C6" s="12" t="str">
        <x:v>Retain for investigation</x:v>
      </x:c>
      <x:c r="D6" s="12" t="str">
        <x:v>Unmatched_Items</x:v>
      </x:c>
    </x:row>
    <x:row r="7">
      <x:c r="A7" s="12" t="str">
        <x:v>Investigation amount</x:v>
      </x:c>
      <x:c r="B7" s="18" t="n">
        <x:f>'Variance_Bridge'!B8</x:f>
        <x:v>614</x:v>
      </x:c>
      <x:c r="C7" s="12" t="str">
        <x:v>Resolve before close</x:v>
      </x:c>
      <x:c r="D7" s="12" t="str">
        <x:v>Variance_Bridge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9" hidden="0" customWidth="1"/>
    <x:col min="4" max="4" width="35" hidden="0" customWidth="1"/>
  </x:cols>
  <x:sheetData>
    <x:row r="1" ht="26" customHeight="1">
      <x:c r="A1" s="14" t="str">
        <x:v>Reconciliation Integrity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Matched item differences</x:v>
      </x:c>
      <x:c r="B4" s="12" t="n">
        <x:f>SUM('Matched_Items'!F4:F7)</x:f>
        <x:v>0</x:v>
      </x:c>
      <x:c r="C4" s="12" t="n">
        <x:v>0</x:v>
      </x:c>
      <x:c r="D4" s="12" t="str">
        <x:v>Each adjusted match closes</x:v>
      </x:c>
    </x:row>
    <x:row r="5">
      <x:c r="A5" s="12" t="str">
        <x:v>Unmatched exception count</x:v>
      </x:c>
      <x:c r="B5" s="12" t="n">
        <x:f>IF('Unmatched_Items'!A4&lt;&gt;"",1,0)+IF('Unmatched_Items'!A5&lt;&gt;"",1,0)</x:f>
        <x:v>2</x:v>
      </x:c>
      <x:c r="C5" s="12" t="n">
        <x:v>2</x:v>
      </x:c>
      <x:c r="D5" s="12" t="str">
        <x:v>Exceptions preserved</x:v>
      </x:c>
    </x:row>
    <x:row r="6">
      <x:c r="A6" s="12" t="str">
        <x:v>FX date sensitivity</x:v>
      </x:c>
      <x:c r="B6" s="12" t="n">
        <x:f>'Final_Reconciliation'!B6-'Final_Reconciliation'!B5-'Final_Reconciliation'!B7</x:f>
        <x:v>0</x:v>
      </x:c>
      <x:c r="C6" s="12" t="n">
        <x:v>2140</x:v>
      </x:c>
      <x:c r="D6" s="12" t="str">
        <x:v>INV-101 uses 30 June EUR rate</x:v>
      </x:c>
    </x:row>
  </x:sheetData>
  <x:mergeCells>
    <x:mergeCell ref="A1:D1"/>
  </x:mergeCells>
  <x:pageMargins left="0.7" right="0.7" top="0.75" bottom="0.75" header="0.3" footer="0.3"/>
</x:worksheet>
</file>