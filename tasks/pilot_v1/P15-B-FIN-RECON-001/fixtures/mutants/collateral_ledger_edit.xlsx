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dger" sheetId="1" state="visible" r:id="rId1"/>
    <sheet xmlns:r="http://schemas.openxmlformats.org/officeDocument/2006/relationships" name="Subledger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Adjustment_Evidence" sheetId="4" state="visible" r:id="rId4"/>
    <sheet xmlns:r="http://schemas.openxmlformats.org/officeDocument/2006/relationships" name="Normalized_Records" sheetId="5" state="visible" r:id="rId5"/>
    <sheet xmlns:r="http://schemas.openxmlformats.org/officeDocument/2006/relationships" name="Matched_Items" sheetId="6" state="visible" r:id="rId6"/>
    <sheet xmlns:r="http://schemas.openxmlformats.org/officeDocument/2006/relationships" name="Unmatched_Items" sheetId="7" state="visible" r:id="rId7"/>
    <sheet xmlns:r="http://schemas.openxmlformats.org/officeDocument/2006/relationships" name="Variance_Bridge" sheetId="8" state="visible" r:id="rId8"/>
    <sheet xmlns:r="http://schemas.openxmlformats.org/officeDocument/2006/relationships" name="Final_Reconciliation" sheetId="9" state="visible" r:id="rId9"/>
    <sheet xmlns:r="http://schemas.openxmlformats.org/officeDocument/2006/relationships" name="Checks" sheetId="10" state="visible" r:id="rId10"/>
  </sheets>
  <definedNames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"/>
    <numFmt numFmtId="166" formatCode="$#,##0.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4" customWidth="1" min="4" max="4"/>
    <col width="20" customWidth="1" min="5" max="5"/>
  </cols>
  <sheetData>
    <row r="1" ht="26" customHeight="1">
      <c r="A1" s="14" t="inlineStr">
        <is>
          <t>General Ledger Extract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Journal ID</t>
        </is>
      </c>
      <c r="B3" s="9" t="inlineStr">
        <is>
          <t>Transaction date</t>
        </is>
      </c>
      <c r="C3" s="9" t="inlineStr">
        <is>
          <t>Invoice</t>
        </is>
      </c>
      <c r="D3" s="9" t="inlineStr">
        <is>
          <t>Currency</t>
        </is>
      </c>
      <c r="E3" s="9" t="inlineStr">
        <is>
          <t>Original amount</t>
        </is>
      </c>
    </row>
    <row r="4">
      <c r="A4" s="12" t="inlineStr">
        <is>
          <t>LG-100X</t>
        </is>
      </c>
      <c r="B4" s="12" t="inlineStr">
        <is>
          <t>2024-06-28</t>
        </is>
      </c>
      <c r="C4" s="12" t="inlineStr">
        <is>
          <t>INV-100</t>
        </is>
      </c>
      <c r="D4" s="12" t="inlineStr">
        <is>
          <t>GBP</t>
        </is>
      </c>
      <c r="E4" s="19" t="n">
        <v>1000</v>
      </c>
    </row>
    <row r="5">
      <c r="A5" s="12" t="inlineStr">
        <is>
          <t>LG-101</t>
        </is>
      </c>
      <c r="B5" s="12" t="inlineStr">
        <is>
          <t>2024-06-30</t>
        </is>
      </c>
      <c r="C5" s="12" t="inlineStr">
        <is>
          <t>INV-101</t>
        </is>
      </c>
      <c r="D5" s="12" t="inlineStr">
        <is>
          <t>EUR</t>
        </is>
      </c>
      <c r="E5" s="19" t="n">
        <v>2000</v>
      </c>
    </row>
    <row r="6">
      <c r="A6" s="12" t="inlineStr">
        <is>
          <t>LG-102</t>
        </is>
      </c>
      <c r="B6" s="12" t="inlineStr">
        <is>
          <t>2024-07-02</t>
        </is>
      </c>
      <c r="C6" s="12" t="inlineStr">
        <is>
          <t>INV-102</t>
        </is>
      </c>
      <c r="D6" s="12" t="inlineStr">
        <is>
          <t>USD</t>
        </is>
      </c>
      <c r="E6" s="19" t="n">
        <v>500</v>
      </c>
    </row>
    <row r="7">
      <c r="A7" s="12" t="inlineStr">
        <is>
          <t>LG-105</t>
        </is>
      </c>
      <c r="B7" s="12" t="inlineStr">
        <is>
          <t>2024-06-30</t>
        </is>
      </c>
      <c r="C7" s="12" t="inlineStr">
        <is>
          <t>INV-105</t>
        </is>
      </c>
      <c r="D7" s="12" t="inlineStr">
        <is>
          <t>USD</t>
        </is>
      </c>
      <c r="E7" s="19" t="n">
        <v>250</v>
      </c>
    </row>
    <row r="8">
      <c r="A8" s="12" t="inlineStr">
        <is>
          <t>LG-106</t>
        </is>
      </c>
      <c r="B8" s="12" t="inlineStr">
        <is>
          <t>2024-06-29</t>
        </is>
      </c>
      <c r="C8" s="12" t="inlineStr">
        <is>
          <t>INV-106</t>
        </is>
      </c>
      <c r="D8" s="12" t="inlineStr">
        <is>
          <t>EUR</t>
        </is>
      </c>
      <c r="E8" s="19" t="n">
        <v>100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4" customWidth="1" min="4" max="4"/>
    <col width="20" customWidth="1" min="5" max="5"/>
  </cols>
  <sheetData>
    <row r="1" ht="26" customHeight="1">
      <c r="A1" s="14" t="inlineStr">
        <is>
          <t>Counterparty Subledger Extract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Record ID</t>
        </is>
      </c>
      <c r="B3" s="9" t="inlineStr">
        <is>
          <t>Transaction date</t>
        </is>
      </c>
      <c r="C3" s="9" t="inlineStr">
        <is>
          <t>Invoice</t>
        </is>
      </c>
      <c r="D3" s="9" t="inlineStr">
        <is>
          <t>Currency</t>
        </is>
      </c>
      <c r="E3" s="9" t="inlineStr">
        <is>
          <t>Original amount</t>
        </is>
      </c>
    </row>
    <row r="4">
      <c r="A4" s="12" t="inlineStr">
        <is>
          <t>SL-100</t>
        </is>
      </c>
      <c r="B4" s="12" t="inlineStr">
        <is>
          <t>2024-06-28</t>
        </is>
      </c>
      <c r="C4" s="12" t="inlineStr">
        <is>
          <t>INV-100</t>
        </is>
      </c>
      <c r="D4" s="12" t="inlineStr">
        <is>
          <t>GBP</t>
        </is>
      </c>
      <c r="E4" s="19" t="n">
        <v>1000</v>
      </c>
    </row>
    <row r="5">
      <c r="A5" s="12" t="inlineStr">
        <is>
          <t>SL-101</t>
        </is>
      </c>
      <c r="B5" s="12" t="inlineStr">
        <is>
          <t>2024-06-30</t>
        </is>
      </c>
      <c r="C5" s="12" t="inlineStr">
        <is>
          <t>INV-101</t>
        </is>
      </c>
      <c r="D5" s="12" t="inlineStr">
        <is>
          <t>EUR</t>
        </is>
      </c>
      <c r="E5" s="19" t="n">
        <v>2000</v>
      </c>
    </row>
    <row r="6">
      <c r="A6" s="12" t="inlineStr">
        <is>
          <t>SL-102</t>
        </is>
      </c>
      <c r="B6" s="12" t="inlineStr">
        <is>
          <t>2024-07-02</t>
        </is>
      </c>
      <c r="C6" s="12" t="inlineStr">
        <is>
          <t>INV-102</t>
        </is>
      </c>
      <c r="D6" s="12" t="inlineStr">
        <is>
          <t>USD</t>
        </is>
      </c>
      <c r="E6" s="19" t="n">
        <v>500</v>
      </c>
    </row>
    <row r="7">
      <c r="A7" s="12" t="inlineStr">
        <is>
          <t>SL-103</t>
        </is>
      </c>
      <c r="B7" s="12" t="inlineStr">
        <is>
          <t>2024-06-30</t>
        </is>
      </c>
      <c r="C7" s="12" t="inlineStr">
        <is>
          <t>INV-103</t>
        </is>
      </c>
      <c r="D7" s="12" t="inlineStr">
        <is>
          <t>USD</t>
        </is>
      </c>
      <c r="E7" s="19" t="n">
        <v>720</v>
      </c>
    </row>
    <row r="8">
      <c r="A8" s="12" t="inlineStr">
        <is>
          <t>SL-105</t>
        </is>
      </c>
      <c r="B8" s="12" t="inlineStr">
        <is>
          <t>2024-06-30</t>
        </is>
      </c>
      <c r="C8" s="12" t="inlineStr">
        <is>
          <t>INV-105</t>
        </is>
      </c>
      <c r="D8" s="12" t="inlineStr">
        <is>
          <t>USD</t>
        </is>
      </c>
      <c r="E8" s="19" t="n">
        <v>300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6" customWidth="1" min="4" max="4"/>
  </cols>
  <sheetData>
    <row r="1" ht="26" customHeight="1">
      <c r="A1" s="14" t="inlineStr">
        <is>
          <t>Transaction-date FX Rates</t>
        </is>
      </c>
    </row>
    <row r="2">
      <c r="A2" s="15" t="n"/>
      <c r="B2" s="15" t="n"/>
      <c r="C2" s="15" t="n"/>
      <c r="D2" s="15" t="n"/>
    </row>
    <row r="3">
      <c r="A3" s="9" t="inlineStr">
        <is>
          <t>Date</t>
        </is>
      </c>
      <c r="B3" s="9" t="inlineStr">
        <is>
          <t>Currency</t>
        </is>
      </c>
      <c r="C3" s="9" t="inlineStr">
        <is>
          <t>USD per unit</t>
        </is>
      </c>
      <c r="D3" s="9" t="inlineStr">
        <is>
          <t>Authority</t>
        </is>
      </c>
    </row>
    <row r="4">
      <c r="A4" s="12" t="inlineStr">
        <is>
          <t>2024-06-28</t>
        </is>
      </c>
      <c r="B4" s="12" t="inlineStr">
        <is>
          <t>GBP</t>
        </is>
      </c>
      <c r="C4" s="20" t="n">
        <v>1.25</v>
      </c>
      <c r="D4" s="12" t="inlineStr">
        <is>
          <t>Policy rate table</t>
        </is>
      </c>
    </row>
    <row r="5">
      <c r="A5" s="12" t="inlineStr">
        <is>
          <t>2024-06-29</t>
        </is>
      </c>
      <c r="B5" s="12" t="inlineStr">
        <is>
          <t>EUR</t>
        </is>
      </c>
      <c r="C5" s="20" t="n">
        <v>1.06</v>
      </c>
      <c r="D5" s="12" t="inlineStr">
        <is>
          <t>Policy rate table</t>
        </is>
      </c>
    </row>
    <row r="6">
      <c r="A6" s="12" t="inlineStr">
        <is>
          <t>2024-06-30</t>
        </is>
      </c>
      <c r="B6" s="12" t="inlineStr">
        <is>
          <t>EUR</t>
        </is>
      </c>
      <c r="C6" s="20" t="n">
        <v>1.07</v>
      </c>
      <c r="D6" s="12" t="inlineStr">
        <is>
          <t>Policy rate table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54" customWidth="1" min="4" max="4"/>
    <col width="32" customWidth="1" min="5" max="5"/>
  </cols>
  <sheetData>
    <row r="1" ht="26" customHeight="1">
      <c r="A1" s="14" t="inlineStr">
        <is>
          <t>Approved Reconciliation Adjustment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Adjustment ID</t>
        </is>
      </c>
      <c r="B3" s="9" t="inlineStr">
        <is>
          <t>Invoice</t>
        </is>
      </c>
      <c r="C3" s="9" t="inlineStr">
        <is>
          <t>Amount USD</t>
        </is>
      </c>
      <c r="D3" s="9" t="inlineStr">
        <is>
          <t>Reason</t>
        </is>
      </c>
      <c r="E3" s="9" t="inlineStr">
        <is>
          <t>Treatment</t>
        </is>
      </c>
    </row>
    <row r="4">
      <c r="A4" s="12" t="inlineStr">
        <is>
          <t>ADJ-105</t>
        </is>
      </c>
      <c r="B4" s="12" t="inlineStr">
        <is>
          <t>INV-105</t>
        </is>
      </c>
      <c r="C4" s="21" t="n">
        <v>-50</v>
      </c>
      <c r="D4" s="12" t="inlineStr">
        <is>
          <t>Approved timing adjustment from $300 subledger to $250 ledger</t>
        </is>
      </c>
      <c r="E4" s="12" t="inlineStr">
        <is>
          <t>Apply before tolerance match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7" customWidth="1" min="4" max="4"/>
    <col width="14" customWidth="1" min="5" max="5"/>
    <col width="16" customWidth="1" min="6" max="6"/>
    <col width="14" customWidth="1" min="7" max="7"/>
    <col width="19" customWidth="1" min="8" max="8"/>
    <col width="25" customWidth="1" min="9" max="9"/>
  </cols>
  <sheetData>
    <row r="1" ht="26" customHeight="1">
      <c r="A1" s="14" t="inlineStr">
        <is>
          <t>Normalized Reconciliation Records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</row>
    <row r="3">
      <c r="A3" s="9" t="inlineStr">
        <is>
          <t>Source</t>
        </is>
      </c>
      <c r="B3" s="9" t="inlineStr">
        <is>
          <t>Record ID</t>
        </is>
      </c>
      <c r="C3" s="9" t="inlineStr">
        <is>
          <t>Invoice</t>
        </is>
      </c>
      <c r="D3" s="9" t="inlineStr">
        <is>
          <t>Date</t>
        </is>
      </c>
      <c r="E3" s="9" t="inlineStr">
        <is>
          <t>Currency</t>
        </is>
      </c>
      <c r="F3" s="9" t="inlineStr">
        <is>
          <t>Original</t>
        </is>
      </c>
      <c r="G3" s="9" t="inlineStr">
        <is>
          <t>FX rate</t>
        </is>
      </c>
      <c r="H3" s="9" t="inlineStr">
        <is>
          <t>USD normalized</t>
        </is>
      </c>
      <c r="I3" s="9" t="inlineStr">
        <is>
          <t>Reference</t>
        </is>
      </c>
    </row>
    <row r="4">
      <c r="A4" s="12" t="inlineStr">
        <is>
          <t>Ledger</t>
        </is>
      </c>
      <c r="B4" s="12" t="inlineStr">
        <is>
          <t>LG-100</t>
        </is>
      </c>
      <c r="C4" s="12" t="inlineStr">
        <is>
          <t>INV-100</t>
        </is>
      </c>
      <c r="D4" s="12" t="inlineStr">
        <is>
          <t>2024-06-28</t>
        </is>
      </c>
      <c r="E4" s="12" t="inlineStr">
        <is>
          <t>GBP</t>
        </is>
      </c>
      <c r="F4" s="22">
        <f>'Ledger'!E4</f>
        <v/>
      </c>
      <c r="G4" s="22">
        <f>'FX_Rates'!C4</f>
        <v/>
      </c>
      <c r="H4" s="22">
        <f>F4*G4</f>
        <v/>
      </c>
      <c r="I4" s="12" t="inlineStr">
        <is>
          <t>Transaction-date rate</t>
        </is>
      </c>
    </row>
    <row r="5">
      <c r="A5" s="12" t="inlineStr">
        <is>
          <t>Ledger</t>
        </is>
      </c>
      <c r="B5" s="12" t="inlineStr">
        <is>
          <t>LG-101</t>
        </is>
      </c>
      <c r="C5" s="12" t="inlineStr">
        <is>
          <t>INV-101</t>
        </is>
      </c>
      <c r="D5" s="12" t="inlineStr">
        <is>
          <t>2024-06-30</t>
        </is>
      </c>
      <c r="E5" s="12" t="inlineStr">
        <is>
          <t>EUR</t>
        </is>
      </c>
      <c r="F5" s="22">
        <f>'Ledger'!E5</f>
        <v/>
      </c>
      <c r="G5" s="22">
        <f>'FX_Rates'!C6</f>
        <v/>
      </c>
      <c r="H5" s="22">
        <f>F5*G5</f>
        <v/>
      </c>
      <c r="I5" s="12" t="inlineStr">
        <is>
          <t>Transaction-date rate</t>
        </is>
      </c>
    </row>
    <row r="6">
      <c r="A6" s="12" t="inlineStr">
        <is>
          <t>Ledger</t>
        </is>
      </c>
      <c r="B6" s="12" t="inlineStr">
        <is>
          <t>LG-102</t>
        </is>
      </c>
      <c r="C6" s="12" t="inlineStr">
        <is>
          <t>INV-102</t>
        </is>
      </c>
      <c r="D6" s="12" t="inlineStr">
        <is>
          <t>2024-07-02</t>
        </is>
      </c>
      <c r="E6" s="12" t="inlineStr">
        <is>
          <t>USD</t>
        </is>
      </c>
      <c r="F6" s="22">
        <f>'Ledger'!E6</f>
        <v/>
      </c>
      <c r="G6" s="22">
        <f>1</f>
        <v/>
      </c>
      <c r="H6" s="22">
        <f>F6*G6</f>
        <v/>
      </c>
      <c r="I6" s="12" t="inlineStr">
        <is>
          <t>USD base</t>
        </is>
      </c>
    </row>
    <row r="7">
      <c r="A7" s="12" t="inlineStr">
        <is>
          <t>Ledger</t>
        </is>
      </c>
      <c r="B7" s="12" t="inlineStr">
        <is>
          <t>LG-105</t>
        </is>
      </c>
      <c r="C7" s="12" t="inlineStr">
        <is>
          <t>INV-105</t>
        </is>
      </c>
      <c r="D7" s="12" t="inlineStr">
        <is>
          <t>2024-06-30</t>
        </is>
      </c>
      <c r="E7" s="12" t="inlineStr">
        <is>
          <t>USD</t>
        </is>
      </c>
      <c r="F7" s="22">
        <f>'Ledger'!E7</f>
        <v/>
      </c>
      <c r="G7" s="22">
        <f>1</f>
        <v/>
      </c>
      <c r="H7" s="22">
        <f>F7*G7</f>
        <v/>
      </c>
      <c r="I7" s="12" t="inlineStr">
        <is>
          <t>USD base</t>
        </is>
      </c>
    </row>
    <row r="8">
      <c r="A8" s="12" t="inlineStr">
        <is>
          <t>Ledger</t>
        </is>
      </c>
      <c r="B8" s="12" t="inlineStr">
        <is>
          <t>LG-106</t>
        </is>
      </c>
      <c r="C8" s="12" t="inlineStr">
        <is>
          <t>INV-106</t>
        </is>
      </c>
      <c r="D8" s="12" t="inlineStr">
        <is>
          <t>2024-06-29</t>
        </is>
      </c>
      <c r="E8" s="12" t="inlineStr">
        <is>
          <t>EUR</t>
        </is>
      </c>
      <c r="F8" s="22">
        <f>'Ledger'!E8</f>
        <v/>
      </c>
      <c r="G8" s="22">
        <f>'FX_Rates'!C5</f>
        <v/>
      </c>
      <c r="H8" s="22">
        <f>F8*G8</f>
        <v/>
      </c>
      <c r="I8" s="12" t="inlineStr">
        <is>
          <t>Transaction-date rate</t>
        </is>
      </c>
    </row>
    <row r="9">
      <c r="A9" s="12" t="inlineStr">
        <is>
          <t>Subledger</t>
        </is>
      </c>
      <c r="B9" s="12" t="inlineStr">
        <is>
          <t>SL-100</t>
        </is>
      </c>
      <c r="C9" s="12" t="inlineStr">
        <is>
          <t>INV-100</t>
        </is>
      </c>
      <c r="D9" s="12" t="inlineStr">
        <is>
          <t>2024-06-28</t>
        </is>
      </c>
      <c r="E9" s="12" t="inlineStr">
        <is>
          <t>GBP</t>
        </is>
      </c>
      <c r="F9" s="22">
        <f>'Subledger'!E4</f>
        <v/>
      </c>
      <c r="G9" s="22">
        <f>'FX_Rates'!C4</f>
        <v/>
      </c>
      <c r="H9" s="22">
        <f>F9*G9</f>
        <v/>
      </c>
      <c r="I9" s="12" t="inlineStr">
        <is>
          <t>Transaction-date rate</t>
        </is>
      </c>
    </row>
    <row r="10">
      <c r="A10" s="12" t="inlineStr">
        <is>
          <t>Subledger</t>
        </is>
      </c>
      <c r="B10" s="12" t="inlineStr">
        <is>
          <t>SL-101</t>
        </is>
      </c>
      <c r="C10" s="12" t="inlineStr">
        <is>
          <t>INV-101</t>
        </is>
      </c>
      <c r="D10" s="12" t="inlineStr">
        <is>
          <t>2024-06-30</t>
        </is>
      </c>
      <c r="E10" s="12" t="inlineStr">
        <is>
          <t>EUR</t>
        </is>
      </c>
      <c r="F10" s="22">
        <f>'Subledger'!E5</f>
        <v/>
      </c>
      <c r="G10" s="22">
        <f>'FX_Rates'!C6</f>
        <v/>
      </c>
      <c r="H10" s="22">
        <f>F10*G10</f>
        <v/>
      </c>
      <c r="I10" s="12" t="inlineStr">
        <is>
          <t>Transaction-date rate</t>
        </is>
      </c>
    </row>
    <row r="11">
      <c r="A11" s="12" t="inlineStr">
        <is>
          <t>Subledger</t>
        </is>
      </c>
      <c r="B11" s="12" t="inlineStr">
        <is>
          <t>SL-102</t>
        </is>
      </c>
      <c r="C11" s="12" t="inlineStr">
        <is>
          <t>INV-102</t>
        </is>
      </c>
      <c r="D11" s="12" t="inlineStr">
        <is>
          <t>2024-07-02</t>
        </is>
      </c>
      <c r="E11" s="12" t="inlineStr">
        <is>
          <t>USD</t>
        </is>
      </c>
      <c r="F11" s="22">
        <f>'Subledger'!E6</f>
        <v/>
      </c>
      <c r="G11" s="22">
        <f>1</f>
        <v/>
      </c>
      <c r="H11" s="22">
        <f>F11*G11</f>
        <v/>
      </c>
      <c r="I11" s="12" t="inlineStr">
        <is>
          <t>USD base</t>
        </is>
      </c>
    </row>
    <row r="12">
      <c r="A12" s="12" t="inlineStr">
        <is>
          <t>Subledger</t>
        </is>
      </c>
      <c r="B12" s="12" t="inlineStr">
        <is>
          <t>SL-103</t>
        </is>
      </c>
      <c r="C12" s="12" t="inlineStr">
        <is>
          <t>INV-103</t>
        </is>
      </c>
      <c r="D12" s="12" t="inlineStr">
        <is>
          <t>2024-06-30</t>
        </is>
      </c>
      <c r="E12" s="12" t="inlineStr">
        <is>
          <t>USD</t>
        </is>
      </c>
      <c r="F12" s="22">
        <f>'Subledger'!E7</f>
        <v/>
      </c>
      <c r="G12" s="22">
        <f>1</f>
        <v/>
      </c>
      <c r="H12" s="22">
        <f>F12*G12</f>
        <v/>
      </c>
      <c r="I12" s="12" t="inlineStr">
        <is>
          <t>USD base</t>
        </is>
      </c>
    </row>
    <row r="13">
      <c r="A13" s="12" t="inlineStr">
        <is>
          <t>Subledger</t>
        </is>
      </c>
      <c r="B13" s="12" t="inlineStr">
        <is>
          <t>SL-105</t>
        </is>
      </c>
      <c r="C13" s="12" t="inlineStr">
        <is>
          <t>INV-105</t>
        </is>
      </c>
      <c r="D13" s="12" t="inlineStr">
        <is>
          <t>2024-06-30</t>
        </is>
      </c>
      <c r="E13" s="12" t="inlineStr">
        <is>
          <t>USD</t>
        </is>
      </c>
      <c r="F13" s="22">
        <f>'Subledger'!E8</f>
        <v/>
      </c>
      <c r="G13" s="22">
        <f>1</f>
        <v/>
      </c>
      <c r="H13" s="22">
        <f>F13*G13</f>
        <v/>
      </c>
      <c r="I13" s="12" t="inlineStr">
        <is>
          <t>USD base</t>
        </is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8" customWidth="1" min="4" max="4"/>
    <col width="21" customWidth="1" min="5" max="5"/>
    <col width="17" customWidth="1" min="6" max="6"/>
    <col width="16" customWidth="1" min="7" max="7"/>
    <col width="32" customWidth="1" min="8" max="8"/>
  </cols>
  <sheetData>
    <row r="1" ht="26" customHeight="1">
      <c r="A1" s="14" t="inlineStr">
        <is>
          <t>Matched Reconciliation Items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</row>
    <row r="3">
      <c r="A3" s="9" t="inlineStr">
        <is>
          <t>Invoice</t>
        </is>
      </c>
      <c r="B3" s="9" t="inlineStr">
        <is>
          <t>Ledger USD</t>
        </is>
      </c>
      <c r="C3" s="9" t="inlineStr">
        <is>
          <t>Subledger USD</t>
        </is>
      </c>
      <c r="D3" s="9" t="inlineStr">
        <is>
          <t>Adjustment USD</t>
        </is>
      </c>
      <c r="E3" s="9" t="inlineStr">
        <is>
          <t>Adjusted subledger</t>
        </is>
      </c>
      <c r="F3" s="9" t="inlineStr">
        <is>
          <t>Difference</t>
        </is>
      </c>
      <c r="G3" s="9" t="inlineStr">
        <is>
          <t>Status</t>
        </is>
      </c>
      <c r="H3" s="9" t="inlineStr">
        <is>
          <t>Evidence</t>
        </is>
      </c>
    </row>
    <row r="4">
      <c r="A4" s="12" t="inlineStr">
        <is>
          <t>INV-100</t>
        </is>
      </c>
      <c r="B4" s="22">
        <f>'Normalized_Records'!H4</f>
        <v/>
      </c>
      <c r="C4" s="22">
        <f>'Normalized_Records'!H9</f>
        <v/>
      </c>
      <c r="D4" s="22">
        <f>0</f>
        <v/>
      </c>
      <c r="E4" s="22">
        <f>C4+D4</f>
        <v/>
      </c>
      <c r="F4" s="22">
        <f>B4-E4</f>
        <v/>
      </c>
      <c r="G4" s="12">
        <f>IF(ABS(F4)&lt;=1,"MATCHED","OUT_OF_TOLERANCE")</f>
        <v/>
      </c>
      <c r="H4" s="12" t="inlineStr">
        <is>
          <t>Exact invoice / date / currency</t>
        </is>
      </c>
    </row>
    <row r="5">
      <c r="A5" s="12" t="inlineStr">
        <is>
          <t>INV-101</t>
        </is>
      </c>
      <c r="B5" s="22">
        <f>'Normalized_Records'!H5</f>
        <v/>
      </c>
      <c r="C5" s="22">
        <f>'Normalized_Records'!H10</f>
        <v/>
      </c>
      <c r="D5" s="22">
        <f>0</f>
        <v/>
      </c>
      <c r="E5" s="22">
        <f>C5+D5</f>
        <v/>
      </c>
      <c r="F5" s="22">
        <f>B5-E5</f>
        <v/>
      </c>
      <c r="G5" s="12">
        <f>IF(ABS(F5)&lt;=1,"MATCHED","OUT_OF_TOLERANCE")</f>
        <v/>
      </c>
      <c r="H5" s="12" t="inlineStr">
        <is>
          <t>Exact invoice / date / currency</t>
        </is>
      </c>
    </row>
    <row r="6">
      <c r="A6" s="12" t="inlineStr">
        <is>
          <t>INV-102</t>
        </is>
      </c>
      <c r="B6" s="22">
        <f>'Normalized_Records'!H6</f>
        <v/>
      </c>
      <c r="C6" s="22">
        <f>'Normalized_Records'!H11</f>
        <v/>
      </c>
      <c r="D6" s="22">
        <f>0</f>
        <v/>
      </c>
      <c r="E6" s="22">
        <f>C6+D6</f>
        <v/>
      </c>
      <c r="F6" s="22">
        <f>B6-E6</f>
        <v/>
      </c>
      <c r="G6" s="12">
        <f>IF(ABS(F6)&lt;=1,"MATCHED","OUT_OF_TOLERANCE")</f>
        <v/>
      </c>
      <c r="H6" s="12" t="inlineStr">
        <is>
          <t>Exact invoice / date / currency</t>
        </is>
      </c>
    </row>
    <row r="7">
      <c r="A7" s="12" t="inlineStr">
        <is>
          <t>INV-103</t>
        </is>
      </c>
      <c r="B7" s="22">
        <f>'Normalized_Records'!H7</f>
        <v/>
      </c>
      <c r="C7" s="22">
        <f>'Normalized_Records'!H13</f>
        <v/>
      </c>
      <c r="D7" s="22">
        <f>'Adjustment_Evidence'!C4</f>
        <v/>
      </c>
      <c r="E7" s="22">
        <f>C7+D7</f>
        <v/>
      </c>
      <c r="F7" s="22">
        <f>B7-E7</f>
        <v/>
      </c>
      <c r="G7" s="12">
        <f>IF(ABS(F7)&lt;=1,"MATCHED","OUT_OF_TOLERANCE")</f>
        <v/>
      </c>
      <c r="H7" s="12" t="inlineStr">
        <is>
          <t>ADJ-105 applied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8" customWidth="1" min="4" max="4"/>
    <col width="31" customWidth="1" min="5" max="5"/>
    <col width="16" customWidth="1" min="6" max="6"/>
  </cols>
  <sheetData>
    <row r="1" ht="26" customHeight="1">
      <c r="A1" s="14" t="inlineStr">
        <is>
          <t>Unmatched Items Requiring Investigation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9" t="inlineStr">
        <is>
          <t>Invoice</t>
        </is>
      </c>
      <c r="B3" s="9" t="inlineStr">
        <is>
          <t>Source</t>
        </is>
      </c>
      <c r="C3" s="9" t="inlineStr">
        <is>
          <t>USD amount</t>
        </is>
      </c>
      <c r="D3" s="9" t="inlineStr">
        <is>
          <t>Reason</t>
        </is>
      </c>
      <c r="E3" s="9" t="inlineStr">
        <is>
          <t>Disposition</t>
        </is>
      </c>
      <c r="F3" s="9" t="inlineStr">
        <is>
          <t>Evidence</t>
        </is>
      </c>
    </row>
    <row r="4">
      <c r="A4" s="12" t="inlineStr">
        <is>
          <t>INV-103</t>
        </is>
      </c>
      <c r="B4" s="12" t="inlineStr">
        <is>
          <t>Subledger</t>
        </is>
      </c>
      <c r="C4" s="22">
        <f>'Normalized_Records'!H12</f>
        <v/>
      </c>
      <c r="D4" s="12" t="inlineStr">
        <is>
          <t>No ledger record</t>
        </is>
      </c>
      <c r="E4" s="12" t="inlineStr">
        <is>
          <t>Retain as subledger exception</t>
        </is>
      </c>
      <c r="F4" s="12" t="inlineStr">
        <is>
          <t>SL-103</t>
        </is>
      </c>
    </row>
    <row r="5">
      <c r="A5" s="12" t="inlineStr">
        <is>
          <t>INV-106</t>
        </is>
      </c>
      <c r="B5" s="12" t="inlineStr">
        <is>
          <t>Ledger</t>
        </is>
      </c>
      <c r="C5" s="22">
        <f>'Normalized_Records'!H8</f>
        <v/>
      </c>
      <c r="D5" s="12" t="inlineStr">
        <is>
          <t>No subledger record</t>
        </is>
      </c>
      <c r="E5" s="12" t="inlineStr">
        <is>
          <t>Retain as ledger exception</t>
        </is>
      </c>
      <c r="F5" s="12" t="inlineStr">
        <is>
          <t>LG-106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25" customWidth="1" min="4" max="4"/>
  </cols>
  <sheetData>
    <row r="1" ht="26" customHeight="1">
      <c r="A1" s="14" t="inlineStr">
        <is>
          <t>Reconciliation Variance Bridge</t>
        </is>
      </c>
    </row>
    <row r="2">
      <c r="A2" s="15" t="n"/>
      <c r="B2" s="15" t="n"/>
      <c r="C2" s="15" t="n"/>
      <c r="D2" s="15" t="n"/>
    </row>
    <row r="3">
      <c r="A3" s="9" t="inlineStr">
        <is>
          <t>Bridge item</t>
        </is>
      </c>
      <c r="B3" s="9" t="inlineStr">
        <is>
          <t>Amount USD</t>
        </is>
      </c>
      <c r="C3" s="9" t="inlineStr">
        <is>
          <t>Meaning</t>
        </is>
      </c>
      <c r="D3" s="9" t="inlineStr">
        <is>
          <t>Evidence</t>
        </is>
      </c>
    </row>
    <row r="4">
      <c r="A4" s="12" t="inlineStr">
        <is>
          <t>Ledger total</t>
        </is>
      </c>
      <c r="B4" s="22">
        <f>SUM('Normalized_Records'!H4:H8)</f>
        <v/>
      </c>
      <c r="C4" s="12" t="inlineStr">
        <is>
          <t>All ledger records</t>
        </is>
      </c>
      <c r="D4" s="12" t="inlineStr">
        <is>
          <t>Normalized_Records</t>
        </is>
      </c>
    </row>
    <row r="5">
      <c r="A5" s="12" t="inlineStr">
        <is>
          <t>Adjusted matched subledger</t>
        </is>
      </c>
      <c r="B5" s="22">
        <f>SUM('Matched_Items'!E4:E7)</f>
        <v/>
      </c>
      <c r="C5" s="12" t="inlineStr">
        <is>
          <t>Matched after approved adjustment</t>
        </is>
      </c>
      <c r="D5" s="12" t="inlineStr">
        <is>
          <t>Matched_Items</t>
        </is>
      </c>
    </row>
    <row r="6">
      <c r="A6" s="12" t="inlineStr">
        <is>
          <t>Ledger-only exception</t>
        </is>
      </c>
      <c r="B6" s="22">
        <f>IF('Unmatched_Items'!B4="Ledger",'Unmatched_Items'!C4,0)+IF('Unmatched_Items'!B5="Ledger",'Unmatched_Items'!C5,0)</f>
        <v/>
      </c>
      <c r="C6" s="12" t="inlineStr">
        <is>
          <t>Unmatched ledger amount</t>
        </is>
      </c>
      <c r="D6" s="12" t="inlineStr">
        <is>
          <t>Unmatched_Items</t>
        </is>
      </c>
    </row>
    <row r="7">
      <c r="A7" s="12" t="inlineStr">
        <is>
          <t>Subledger-only exception</t>
        </is>
      </c>
      <c r="B7" s="22">
        <f>IF('Unmatched_Items'!B4="Subledger",'Unmatched_Items'!C4,0)+IF('Unmatched_Items'!B5="Subledger",'Unmatched_Items'!C5,0)</f>
        <v/>
      </c>
      <c r="C7" s="12" t="inlineStr">
        <is>
          <t>Unmatched subledger amount</t>
        </is>
      </c>
      <c r="D7" s="12" t="inlineStr">
        <is>
          <t>Unmatched_Items</t>
        </is>
      </c>
    </row>
    <row r="8">
      <c r="A8" s="12" t="inlineStr">
        <is>
          <t>Net investigation difference</t>
        </is>
      </c>
      <c r="B8" s="22">
        <f>B7-B6</f>
        <v/>
      </c>
      <c r="C8" s="12" t="inlineStr">
        <is>
          <t>Subledger-only minus ledger-only</t>
        </is>
      </c>
      <c r="D8" s="12" t="inlineStr">
        <is>
          <t>Unmatched_Items</t>
        </is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39" customWidth="1" min="3" max="3"/>
    <col width="25" customWidth="1" min="4" max="4"/>
  </cols>
  <sheetData>
    <row r="1" ht="26" customHeight="1">
      <c r="A1" s="14" t="inlineStr">
        <is>
          <t>June Reconciliation Decision Sheet</t>
        </is>
      </c>
    </row>
    <row r="2">
      <c r="A2" s="15" t="n"/>
      <c r="B2" s="15" t="n"/>
      <c r="C2" s="15" t="n"/>
      <c r="D2" s="15" t="n"/>
    </row>
    <row r="3">
      <c r="A3" s="9" t="inlineStr">
        <is>
          <t>Metric</t>
        </is>
      </c>
      <c r="B3" s="9" t="inlineStr">
        <is>
          <t>Value</t>
        </is>
      </c>
      <c r="C3" s="9" t="inlineStr">
        <is>
          <t>Decision</t>
        </is>
      </c>
      <c r="D3" s="9" t="inlineStr">
        <is>
          <t>Evidence</t>
        </is>
      </c>
    </row>
    <row r="4">
      <c r="A4" s="12" t="inlineStr">
        <is>
          <t>Matched invoices</t>
        </is>
      </c>
      <c r="B4" s="12">
        <f>IF('Matched_Items'!G4="MATCHED",1,0)+IF('Matched_Items'!G5="MATCHED",1,0)+IF('Matched_Items'!G6="MATCHED",1,0)+IF('Matched_Items'!G7="MATCHED",1,0)</f>
        <v/>
      </c>
      <c r="C4" s="12" t="inlineStr">
        <is>
          <t>Four records reconciled within $1 policy tolerance</t>
        </is>
      </c>
      <c r="D4" s="12" t="inlineStr">
        <is>
          <t>Matched_Items</t>
        </is>
      </c>
    </row>
    <row r="5">
      <c r="A5" s="12" t="inlineStr">
        <is>
          <t>Ledger-only exceptions</t>
        </is>
      </c>
      <c r="B5" s="22">
        <f>'Variance_Bridge'!B6</f>
        <v/>
      </c>
      <c r="C5" s="12" t="inlineStr">
        <is>
          <t>Retain for investigation</t>
        </is>
      </c>
      <c r="D5" s="12" t="inlineStr">
        <is>
          <t>Unmatched_Items</t>
        </is>
      </c>
    </row>
    <row r="6">
      <c r="A6" s="12" t="inlineStr">
        <is>
          <t>Subledger-only exceptions</t>
        </is>
      </c>
      <c r="B6" s="22">
        <f>'Variance_Bridge'!B7</f>
        <v/>
      </c>
      <c r="C6" s="12" t="inlineStr">
        <is>
          <t>Retain for investigation</t>
        </is>
      </c>
      <c r="D6" s="12" t="inlineStr">
        <is>
          <t>Unmatched_Items</t>
        </is>
      </c>
    </row>
    <row r="7">
      <c r="A7" s="12" t="inlineStr">
        <is>
          <t>Investigation amount</t>
        </is>
      </c>
      <c r="B7" s="22">
        <f>'Variance_Bridge'!B8</f>
        <v/>
      </c>
      <c r="C7" s="12" t="inlineStr">
        <is>
          <t>Resolve before close</t>
        </is>
      </c>
      <c r="D7" s="12" t="inlineStr">
        <is>
          <t>Variance_Bridge</t>
        </is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9" customWidth="1" min="3" max="3"/>
    <col width="35" customWidth="1" min="4" max="4"/>
  </cols>
  <sheetData>
    <row r="1" ht="26" customHeight="1">
      <c r="A1" s="14" t="inlineStr">
        <is>
          <t>Reconciliation Integrity Checks</t>
        </is>
      </c>
    </row>
    <row r="2">
      <c r="A2" s="15" t="n"/>
      <c r="B2" s="15" t="n"/>
      <c r="C2" s="15" t="n"/>
      <c r="D2" s="15" t="n"/>
    </row>
    <row r="3">
      <c r="A3" s="9" t="inlineStr">
        <is>
          <t>Check</t>
        </is>
      </c>
      <c r="B3" s="9" t="inlineStr">
        <is>
          <t>Value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Matched item differences</t>
        </is>
      </c>
      <c r="B4" s="12">
        <f>SUM('Matched_Items'!F4:F7)</f>
        <v/>
      </c>
      <c r="C4" s="12" t="n">
        <v>0</v>
      </c>
      <c r="D4" s="12" t="inlineStr">
        <is>
          <t>Each adjusted match closes</t>
        </is>
      </c>
    </row>
    <row r="5">
      <c r="A5" s="12" t="inlineStr">
        <is>
          <t>Unmatched exception count</t>
        </is>
      </c>
      <c r="B5" s="12">
        <f>IF('Unmatched_Items'!A4&lt;&gt;"",1,0)+IF('Unmatched_Items'!A5&lt;&gt;"",1,0)</f>
        <v/>
      </c>
      <c r="C5" s="12" t="n">
        <v>2</v>
      </c>
      <c r="D5" s="12" t="inlineStr">
        <is>
          <t>Exceptions preserved</t>
        </is>
      </c>
    </row>
    <row r="6">
      <c r="A6" s="12" t="inlineStr">
        <is>
          <t>FX date sensitivity</t>
        </is>
      </c>
      <c r="B6" s="12">
        <f>'Final_Reconciliation'!B6-'Final_Reconciliation'!B5-'Final_Reconciliation'!B7</f>
        <v/>
      </c>
      <c r="C6" s="12" t="n">
        <v>2140</v>
      </c>
      <c r="D6" s="12" t="inlineStr">
        <is>
          <t>INV-101 uses 30 June EUR rate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2026-08-30T11:33:57Z</dcterms:created>
  <dcterms:modified xmlns:dcterms="http://purl.org/dc/terms/" xmlns:xsi="http://www.w3.org/2001/XMLSchema-instance" xsi:type="dcterms:W3CDTF">2026-08-30T11:33:57Z</dcterms:modified>
</cp:coreProperties>
</file>