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da4365710ce54cc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ource_Data" sheetId="1" r:id="R4bcd7a7563f846be"/>
    <x:sheet xmlns:r="http://schemas.openxmlformats.org/officeDocument/2006/relationships" name="Assumptions" sheetId="2" r:id="Re8d21270182d473e"/>
    <x:sheet xmlns:r="http://schemas.openxmlformats.org/officeDocument/2006/relationships" name="Forecast" sheetId="3" r:id="R43fa722a82504c11"/>
    <x:sheet xmlns:r="http://schemas.openxmlformats.org/officeDocument/2006/relationships" name="Valuation" sheetId="4" r:id="R9c1b629968564c11"/>
    <x:sheet xmlns:r="http://schemas.openxmlformats.org/officeDocument/2006/relationships" name="Checks" sheetId="5" r:id="R3557e88aefe9417c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#,##0"/>
    <x:numFmt numFmtId="201" formatCode="0.0%"/>
    <x:numFmt numFmtId="202" formatCode="#,##0.0"/>
    <x:numFmt numFmtId="203" formatCode="0.000x"/>
  </x:numFmts>
  <x:fonts count="4">
    <x:font>
      <x:sz val="11"/>
      <x:name val="Carlito"/>
    </x:font>
    <x:font>
      <x:b/>
      <x:sz val="14"/>
      <x:color rgb="FFFFFFFF"/>
      <x:name val="Carlito"/>
    </x:font>
    <x:font>
      <x:b/>
      <x:sz val="11"/>
      <x:color rgb="FF1F2937"/>
      <x:name val="Carlito"/>
    </x:font>
    <x:font>
      <x:sz val="11"/>
      <x:color rgb="FF0000F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17365D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1D5DB"/>
      </x:left>
      <x:right style="thin">
        <x:color rgb="FFD1D5DB"/>
      </x:right>
      <x:top style="thin">
        <x:color rgb="FFD1D5DB"/>
      </x:top>
      <x:bottom style="thin">
        <x:color rgb="FFD1D5DB"/>
      </x:bottom>
    </x:border>
  </x:borders>
  <x:cellStyleXfs count="1">
    <x:xf numFmtId="0" fontId="0" fillId="0" borderId="0"/>
  </x:cellStyleXfs>
  <x:cellXfs count="33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horizontal="left"/>
    </x:xf>
    <x:xf numFmtId="0" fontId="1" fillId="2" borderId="0" xfId="0" applyNumberFormat="1" applyFont="1" applyFill="1" applyBorder="1" applyAlignment="1">
      <x:alignment horizontal="left"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3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/>
    <x:xf numFmtId="0" fontId="0" fillId="0" borderId="1" xfId="0" applyNumberFormat="1" applyFont="1" applyFill="1" applyBorder="1" applyAlignment="1">
      <x:alignment vertical="center"/>
    </x:xf>
    <x:xf numFmtId="200" fontId="0" fillId="0" borderId="1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horizontal="left" vertical="center"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vertical="center" wrapText="1"/>
    </x:xf>
    <x:xf numFmtId="200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/>
    </x:xf>
    <x:xf numFmtId="201" fontId="0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center"/>
    </x:xf>
    <x:xf numFmtId="0" fontId="3" fillId="0" borderId="1" xfId="0" applyNumberFormat="1" applyFont="1" applyFill="1" applyBorder="1" applyAlignment="1">
      <x:alignment vertical="center"/>
    </x:xf>
    <x:xf numFmtId="201" fontId="3" fillId="0" borderId="0" xfId="0" applyNumberFormat="1" applyFont="1" applyFill="1" applyBorder="1"/>
    <x:xf numFmtId="0" fontId="3" fillId="0" borderId="0" xfId="0" applyNumberFormat="1" applyFont="1" applyFill="1" applyBorder="1"/>
    <x:xf numFmtId="201" fontId="3" fillId="0" borderId="1" xfId="0" applyNumberFormat="1" applyFont="1" applyFill="1" applyBorder="1" applyAlignment="1">
      <x:alignment vertical="center" wrapText="1"/>
    </x:xf>
    <x:xf numFmtId="0" fontId="3" fillId="0" borderId="1" xfId="0" applyNumberFormat="1" applyFont="1" applyFill="1" applyBorder="1" applyAlignment="1">
      <x:alignment vertical="center" wrapText="1"/>
    </x:xf>
    <x:xf numFmtId="201" fontId="3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wrapText="1"/>
    </x:xf>
    <x:xf numFmtId="202" fontId="0" fillId="0" borderId="1" xfId="0" applyNumberFormat="1" applyFont="1" applyFill="1" applyBorder="1" applyAlignment="1">
      <x:alignment vertical="center"/>
    </x:xf>
    <x:xf numFmtId="203" fontId="0" fillId="0" borderId="1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 applyAlignment="1">
      <x:alignment vertical="center" wrapText="1"/>
    </x:xf>
    <x:xf numFmtId="203" fontId="0" fillId="0" borderId="1" xfId="0" applyNumberFormat="1" applyFont="1" applyFill="1" applyBorder="1" applyAlignment="1">
      <x:alignment vertical="center" wrapText="1"/>
    </x:xf>
    <x:xf numFmtId="201" fontId="0" fillId="0" borderId="1" xfId="0" applyNumberFormat="1" applyFont="1" applyFill="1" applyBorder="1" applyAlignment="1">
      <x:alignment vertical="center" wrapText="1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bffcdca2ca8e44d8" /><Relationship Type="http://schemas.openxmlformats.org/officeDocument/2006/relationships/theme" Target="/xl/theme/theme1.xml" Id="R9771304863bb49ba" /><Relationship Type="http://schemas.openxmlformats.org/officeDocument/2006/relationships/sharedStrings" Target="/xl/sharedStrings.xml" Id="R27aff8fdfd074f6d" /><Relationship Type="http://schemas.openxmlformats.org/officeDocument/2006/relationships/worksheet" Target="/xl/worksheets/sheet1.xml" Id="R4bcd7a7563f846be" /><Relationship Type="http://schemas.openxmlformats.org/officeDocument/2006/relationships/worksheet" Target="/xl/worksheets/sheet2.xml" Id="Re8d21270182d473e" /><Relationship Type="http://schemas.openxmlformats.org/officeDocument/2006/relationships/worksheet" Target="/xl/worksheets/sheet3.xml" Id="R43fa722a82504c11" /><Relationship Type="http://schemas.openxmlformats.org/officeDocument/2006/relationships/worksheet" Target="/xl/worksheets/sheet4.xml" Id="R9c1b629968564c11" /><Relationship Type="http://schemas.openxmlformats.org/officeDocument/2006/relationships/worksheet" Target="/xl/worksheets/sheet5.xml" Id="R3557e88aefe9417c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45" hidden="0" customWidth="1"/>
    <x:col min="6" max="6" width="54" hidden="0" customWidth="1"/>
    <x:col min="7" max="7" width="34" hidden="0" customWidth="1"/>
  </x:cols>
  <x:sheetData>
    <x:row r="1" ht="26" customHeight="1">
      <x:c r="A1" s="14" t="str">
        <x:v>Seaboard Industrial Systems — Historical Financial Source Extract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Metric ($m unless noted)</x:v>
      </x:c>
      <x:c r="B3" s="10" t="str">
        <x:v>FY2022A</x:v>
      </x:c>
      <x:c r="C3" s="10" t="str">
        <x:v>FY2023A</x:v>
      </x:c>
      <x:c r="D3" s="10" t="str">
        <x:v>FY2024A</x:v>
      </x:c>
      <x:c r="E3" s="10" t="str">
        <x:v>Source tag</x:v>
      </x:c>
      <x:c r="F3" s="10" t="str">
        <x:v>Source URL</x:v>
      </x:c>
      <x:c r="G3" s="10" t="str">
        <x:v>Note</x:v>
      </x:c>
    </x:row>
    <x:row r="4">
      <x:c r="A4" s="16" t="str">
        <x:v>Revenue</x:v>
      </x:c>
      <x:c r="B4" s="17" t="n">
        <x:v>188000</x:v>
      </x:c>
      <x:c r="C4" s="17" t="n">
        <x:v>201000</x:v>
      </x:c>
      <x:c r="D4" s="17" t="n">
        <x:v>215000</x:v>
      </x:c>
      <x:c r="E4" s="16" t="str">
        <x:v>us-gaap:RevenueFromContractWithCustomerExcludingAssessedTax</x:v>
      </x:c>
      <x:c r="F4" s="16" t="str">
        <x:v>https://data.sec.gov/api/xbrl/companyfacts/CIK0000320193.json</x:v>
      </x:c>
      <x:c r="G4" s="16" t="str">
        <x:v>Apple Inc. Company Facts; task uses values as historical input</x:v>
      </x:c>
    </x:row>
    <x:row r="5">
      <x:c r="A5" s="16" t="str">
        <x:v>Operating income</x:v>
      </x:c>
      <x:c r="B5" s="17" t="n">
        <x:v>26700</x:v>
      </x:c>
      <x:c r="C5" s="17" t="n">
        <x:v>29500</x:v>
      </x:c>
      <x:c r="D5" s="17" t="n">
        <x:v>32250</x:v>
      </x:c>
      <x:c r="E5" s="16" t="str">
        <x:v>us-gaap:OperatingIncomeLoss</x:v>
      </x:c>
      <x:c r="F5" s="16" t="str">
        <x:v>https://data.sec.gov/api/xbrl/companyfacts/CIK0000320193.json</x:v>
      </x:c>
      <x:c r="G5" s="16" t="str">
        <x:v>Historical margin anchor</x:v>
      </x:c>
    </x:row>
    <x:row r="6">
      <x:c r="A6" s="16" t="str">
        <x:v>D&amp;A</x:v>
      </x:c>
      <x:c r="B6" s="17" t="n">
        <x:v>7900</x:v>
      </x:c>
      <x:c r="C6" s="17" t="n">
        <x:v>8500</x:v>
      </x:c>
      <x:c r="D6" s="17" t="n">
        <x:v>9200</x:v>
      </x:c>
      <x:c r="E6" s="16" t="str">
        <x:v>us-gaap:DepreciationDepletionAndAmortization</x:v>
      </x:c>
      <x:c r="F6" s="16" t="str">
        <x:v>https://data.sec.gov/api/xbrl/companyfacts/CIK0000320193.json</x:v>
      </x:c>
      <x:c r="G6" s="16" t="str">
        <x:v>Cash-flow input</x:v>
      </x:c>
    </x:row>
    <x:row r="7">
      <x:c r="A7" s="16" t="str">
        <x:v>Capital expenditures</x:v>
      </x:c>
      <x:c r="B7" s="17" t="n">
        <x:v>9100</x:v>
      </x:c>
      <x:c r="C7" s="17" t="n">
        <x:v>9700</x:v>
      </x:c>
      <x:c r="D7" s="17" t="n">
        <x:v>10500</x:v>
      </x:c>
      <x:c r="E7" s="16" t="str">
        <x:v>us-gaap:PaymentsToAcquirePropertyPlantAndEquipment</x:v>
      </x:c>
      <x:c r="F7" s="16" t="str">
        <x:v>https://data.sec.gov/api/xbrl/companyfacts/CIK0000320193.json</x:v>
      </x:c>
      <x:c r="G7" s="16" t="str">
        <x:v>Cash-flow input</x:v>
      </x:c>
    </x:row>
    <x:row r="8">
      <x:c r="A8" s="16" t="str">
        <x:v>Cash</x:v>
      </x:c>
      <x:c r="B8" s="17" t="n">
        <x:v>15100</x:v>
      </x:c>
      <x:c r="C8" s="17" t="n">
        <x:v>16400</x:v>
      </x:c>
      <x:c r="D8" s="17" t="n">
        <x:v>18000</x:v>
      </x:c>
      <x:c r="E8" s="16" t="str">
        <x:v>us-gaap:CashAndCashEquivalentsAtCarryingValue</x:v>
      </x:c>
      <x:c r="F8" s="16" t="str">
        <x:v>https://data.sec.gov/api/xbrl/companyfacts/CIK0000320193.json</x:v>
      </x:c>
      <x:c r="G8" s="16" t="str">
        <x:v>Equity bridge input</x:v>
      </x:c>
    </x:row>
  </x:sheetData>
  <x:mergeCells>
    <x:mergeCell ref="A1:G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1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  <x:col min="7" max="7" width="42" hidden="0" customWidth="1"/>
  </x:cols>
  <x:sheetData>
    <x:row r="1" ht="26" customHeight="1">
      <x:c r="A1" s="14" t="str">
        <x:v>Seaboard Industrial Systems DCF Assumptions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0" t="str">
        <x:v>Assumption</x:v>
      </x:c>
      <x:c r="B3" s="10" t="str">
        <x:v>2025E</x:v>
      </x:c>
      <x:c r="C3" s="10" t="str">
        <x:v>2026E</x:v>
      </x:c>
      <x:c r="D3" s="10" t="str">
        <x:v>2027E</x:v>
      </x:c>
      <x:c r="E3" s="10" t="str">
        <x:v>2028E</x:v>
      </x:c>
      <x:c r="F3" s="10" t="str">
        <x:v>2029E</x:v>
      </x:c>
      <x:c r="G3" s="10" t="str">
        <x:v>Source / convention</x:v>
      </x:c>
    </x:row>
    <x:row r="4">
      <x:c r="A4" s="16" t="str">
        <x:v>Revenue growth</x:v>
      </x:c>
      <x:c r="B4" s="24" t="n">
        <x:v>0.065</x:v>
      </x:c>
      <x:c r="C4" s="24" t="n">
        <x:v>0.055</x:v>
      </x:c>
      <x:c r="D4" s="24" t="n">
        <x:v>0.05</x:v>
      </x:c>
      <x:c r="E4" s="24" t="n">
        <x:v>0.045</x:v>
      </x:c>
      <x:c r="F4" s="24" t="n">
        <x:v>0.04</x:v>
      </x:c>
      <x:c r="G4" s="16" t="str">
        <x:v>Benchmark-authored forecast case</x:v>
      </x:c>
    </x:row>
    <x:row r="5">
      <x:c r="A5" s="16" t="str">
        <x:v>EBIT margin</x:v>
      </x:c>
      <x:c r="B5" s="24" t="n">
        <x:v>0.16</x:v>
      </x:c>
      <x:c r="C5" s="24" t="n">
        <x:v>0.162</x:v>
      </x:c>
      <x:c r="D5" s="24" t="n">
        <x:v>0.165</x:v>
      </x:c>
      <x:c r="E5" s="24" t="n">
        <x:v>0.167</x:v>
      </x:c>
      <x:c r="F5" s="24" t="n">
        <x:v>0.17</x:v>
      </x:c>
      <x:c r="G5" s="16" t="str">
        <x:v>Held near FY2024 operating margin</x:v>
      </x:c>
    </x:row>
    <x:row r="6">
      <x:c r="A6" s="16" t="str">
        <x:v>Tax rate</x:v>
      </x:c>
      <x:c r="B6" s="24" t="n">
        <x:v>0.24</x:v>
      </x:c>
      <x:c r="C6" s="24" t="n">
        <x:v>0.24</x:v>
      </x:c>
      <x:c r="D6" s="24" t="n">
        <x:v>0.24</x:v>
      </x:c>
      <x:c r="E6" s="24" t="n">
        <x:v>0.24</x:v>
      </x:c>
      <x:c r="F6" s="24" t="n">
        <x:v>0.24</x:v>
      </x:c>
      <x:c r="G6" s="16" t="str">
        <x:v>Normalized statutory rate</x:v>
      </x:c>
    </x:row>
    <x:row r="7">
      <x:c r="A7" s="16" t="str">
        <x:v>D&amp;A as % revenue</x:v>
      </x:c>
      <x:c r="B7" s="24" t="n">
        <x:v>0.043</x:v>
      </x:c>
      <x:c r="C7" s="24" t="n">
        <x:v>0.043</x:v>
      </x:c>
      <x:c r="D7" s="24" t="n">
        <x:v>0.043</x:v>
      </x:c>
      <x:c r="E7" s="24" t="n">
        <x:v>0.043</x:v>
      </x:c>
      <x:c r="F7" s="24" t="n">
        <x:v>0.043</x:v>
      </x:c>
      <x:c r="G7" s="16" t="str">
        <x:v>Historical anchor</x:v>
      </x:c>
    </x:row>
    <x:row r="8">
      <x:c r="A8" s="16" t="str">
        <x:v>Capex as % revenue</x:v>
      </x:c>
      <x:c r="B8" s="24" t="n">
        <x:v>0.048</x:v>
      </x:c>
      <x:c r="C8" s="24" t="n">
        <x:v>0.048</x:v>
      </x:c>
      <x:c r="D8" s="24" t="n">
        <x:v>0.048</x:v>
      </x:c>
      <x:c r="E8" s="24" t="n">
        <x:v>0.048</x:v>
      </x:c>
      <x:c r="F8" s="24" t="n">
        <x:v>0.048</x:v>
      </x:c>
      <x:c r="G8" s="16" t="str">
        <x:v>Historical anchor</x:v>
      </x:c>
    </x:row>
    <x:row r="9">
      <x:c r="A9" s="16" t="str">
        <x:v>Change in NWC as % revenue</x:v>
      </x:c>
      <x:c r="B9" s="24" t="n">
        <x:v>0.075</x:v>
      </x:c>
      <x:c r="C9" s="24" t="n">
        <x:v>0.075</x:v>
      </x:c>
      <x:c r="D9" s="24" t="n">
        <x:v>0.075</x:v>
      </x:c>
      <x:c r="E9" s="24" t="n">
        <x:v>0.075</x:v>
      </x:c>
      <x:c r="F9" s="24" t="n">
        <x:v>0.075</x:v>
      </x:c>
      <x:c r="G9" s="16" t="str">
        <x:v>Planning convention</x:v>
      </x:c>
    </x:row>
    <x:row r="10">
      <x:c r="A10" s="16" t="str">
        <x:v>WACC</x:v>
      </x:c>
      <x:c r="B10" s="24" t="n">
        <x:v>0.092</x:v>
      </x:c>
      <x:c r="C10" s="24"/>
      <x:c r="D10" s="24"/>
      <x:c r="E10" s="24"/>
      <x:c r="F10" s="24"/>
      <x:c r="G10" s="16" t="str">
        <x:v>Applied to all forecast periods</x:v>
      </x:c>
    </x:row>
    <x:row r="11">
      <x:c r="A11" s="16" t="str">
        <x:v>Terminal growth</x:v>
      </x:c>
      <x:c r="B11" s="24" t="n">
        <x:v>0.026</x:v>
      </x:c>
      <x:c r="C11" s="25"/>
      <x:c r="D11" s="25"/>
      <x:c r="E11" s="25"/>
      <x:c r="F11" s="25"/>
      <x:c r="G11" s="16" t="str">
        <x:v>Gordon growth convention</x:v>
      </x:c>
    </x:row>
    <x:row r="12">
      <x:c r="A12" s="15"/>
      <x:c r="B12" s="26"/>
      <x:c r="C12" s="27"/>
      <x:c r="D12" s="27"/>
      <x:c r="E12" s="27"/>
      <x:c r="F12" s="27"/>
      <x:c r="G12" s="15"/>
    </x:row>
  </x:sheetData>
  <x:mergeCells>
    <x:mergeCell ref="A1:G1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4" hidden="0" customWidth="1"/>
    <x:col min="3" max="3" width="14" hidden="0" customWidth="1"/>
    <x:col min="4" max="4" width="14" hidden="0" customWidth="1"/>
    <x:col min="5" max="5" width="14" hidden="0" customWidth="1"/>
    <x:col min="6" max="6" width="14" hidden="0" customWidth="1"/>
  </x:cols>
  <x:sheetData>
    <x:row r="1" ht="26" customHeight="1">
      <x:c r="A1" s="14" t="str">
        <x:v>Seaboard DCF Forecast and Unlevered Free Cash Flow</x:v>
      </x:c>
      <x:c r="B1" s="14"/>
      <x:c r="C1" s="14"/>
      <x:c r="D1" s="14"/>
      <x:c r="E1" s="14"/>
      <x:c r="F1" s="14"/>
      <x:c r="G1" s="4"/>
    </x:row>
    <x:row r="2">
      <x:c r="A2" s="15"/>
      <x:c r="B2" s="15"/>
      <x:c r="C2" s="15"/>
      <x:c r="D2" s="15"/>
      <x:c r="E2" s="15"/>
      <x:c r="F2" s="15"/>
    </x:row>
    <x:row r="3">
      <x:c r="A3" s="15"/>
      <x:c r="B3" s="15"/>
      <x:c r="C3" s="15"/>
      <x:c r="D3" s="15"/>
      <x:c r="E3" s="15"/>
      <x:c r="F3" s="15"/>
    </x:row>
    <x:row r="4">
      <x:c r="A4" s="10" t="str">
        <x:v>Metric ($m unless noted)</x:v>
      </x:c>
      <x:c r="B4" s="10" t="str">
        <x:v>2025E</x:v>
      </x:c>
      <x:c r="C4" s="10" t="str">
        <x:v>2026E</x:v>
      </x:c>
      <x:c r="D4" s="10" t="str">
        <x:v>2027E</x:v>
      </x:c>
      <x:c r="E4" s="10" t="str">
        <x:v>2028E</x:v>
      </x:c>
      <x:c r="F4" s="10" t="str">
        <x:v>2029E</x:v>
      </x:c>
    </x:row>
    <x:row r="5">
      <x:c r="A5" s="16" t="str">
        <x:v>Revenue</x:v>
      </x:c>
      <x:c r="B5" s="30" t="n">
        <x:f>'Source_Data'!D4*(1+'Assumptions'!B4)</x:f>
        <x:v>228975</x:v>
      </x:c>
      <x:c r="C5" s="30" t="n">
        <x:f>B5*(1+'Assumptions'!C4)</x:f>
        <x:v>241568.625</x:v>
      </x:c>
      <x:c r="D5" s="30" t="n">
        <x:f>C5*(1+'Assumptions'!D4)</x:f>
        <x:v>253647.05625000002</x:v>
      </x:c>
      <x:c r="E5" s="30" t="n">
        <x:f>D5*(1+'Assumptions'!E4)</x:f>
        <x:v>265061.17378125</x:v>
      </x:c>
      <x:c r="F5" s="30" t="n">
        <x:f>E5*(1+'Assumptions'!F4)</x:f>
        <x:v>275663.62073250004</x:v>
      </x:c>
    </x:row>
    <x:row r="6">
      <x:c r="A6" s="16" t="str">
        <x:v>EBIT</x:v>
      </x:c>
      <x:c r="B6" s="30" t="n">
        <x:f>B5*'Assumptions'!B5</x:f>
        <x:v>36636</x:v>
      </x:c>
      <x:c r="C6" s="30" t="n">
        <x:f>C5*'Assumptions'!C5</x:f>
        <x:v>39134.11725</x:v>
      </x:c>
      <x:c r="D6" s="30" t="n">
        <x:f>D5*'Assumptions'!D5</x:f>
        <x:v>41851.764281250005</x:v>
      </x:c>
      <x:c r="E6" s="30" t="n">
        <x:f>E5*'Assumptions'!E5</x:f>
        <x:v>44265.216021468754</x:v>
      </x:c>
      <x:c r="F6" s="30" t="n">
        <x:f>F5*'Assumptions'!F5</x:f>
        <x:v>46862.81552452501</x:v>
      </x:c>
    </x:row>
    <x:row r="7">
      <x:c r="A7" s="16" t="str">
        <x:v>Cash taxes</x:v>
      </x:c>
      <x:c r="B7" s="30" t="n">
        <x:f>B6*'Assumptions'!B6</x:f>
        <x:v>8792.64</x:v>
      </x:c>
      <x:c r="C7" s="30" t="n">
        <x:f>C6*'Assumptions'!C6</x:f>
        <x:v>9392.18814</x:v>
      </x:c>
      <x:c r="D7" s="30" t="n">
        <x:f>D6*'Assumptions'!D6</x:f>
        <x:v>10044.423427500002</x:v>
      </x:c>
      <x:c r="E7" s="30" t="n">
        <x:f>E6*'Assumptions'!E6</x:f>
        <x:v>10623.6518451525</x:v>
      </x:c>
      <x:c r="F7" s="30" t="n">
        <x:f>F6*'Assumptions'!F6</x:f>
        <x:v>11247.075725886001</x:v>
      </x:c>
    </x:row>
    <x:row r="8">
      <x:c r="A8" s="16" t="str">
        <x:v>NOPAT</x:v>
      </x:c>
      <x:c r="B8" s="30" t="n">
        <x:f>B6-B7</x:f>
        <x:v>27843.36</x:v>
      </x:c>
      <x:c r="C8" s="30" t="n">
        <x:f>C6-C7</x:f>
        <x:v>29741.929110000005</x:v>
      </x:c>
      <x:c r="D8" s="30" t="n">
        <x:f>D6-D7</x:f>
        <x:v>31807.340853750004</x:v>
      </x:c>
      <x:c r="E8" s="30" t="n">
        <x:f>E6-E7</x:f>
        <x:v>33641.56417631626</x:v>
      </x:c>
      <x:c r="F8" s="30" t="n">
        <x:f>F6-F7</x:f>
        <x:v>35615.739798639006</x:v>
      </x:c>
    </x:row>
    <x:row r="9">
      <x:c r="A9" s="16" t="str">
        <x:v>D&amp;A</x:v>
      </x:c>
      <x:c r="B9" s="30" t="n">
        <x:f>B5*'Assumptions'!B7</x:f>
        <x:v>9845.925</x:v>
      </x:c>
      <x:c r="C9" s="30" t="n">
        <x:f>C5*'Assumptions'!C7</x:f>
        <x:v>10387.450874999999</x:v>
      </x:c>
      <x:c r="D9" s="30" t="n">
        <x:f>D5*'Assumptions'!D7</x:f>
        <x:v>10906.82341875</x:v>
      </x:c>
      <x:c r="E9" s="30" t="n">
        <x:f>E5*'Assumptions'!E7</x:f>
        <x:v>11397.63047259375</x:v>
      </x:c>
      <x:c r="F9" s="30" t="n">
        <x:f>F5*'Assumptions'!F7</x:f>
        <x:v>11853.5356914975</x:v>
      </x:c>
    </x:row>
    <x:row r="10">
      <x:c r="A10" s="16" t="str">
        <x:v>Capital expenditures</x:v>
      </x:c>
      <x:c r="B10" s="30" t="n">
        <x:f>B5*'Assumptions'!B8</x:f>
        <x:v>10990.800000000001</x:v>
      </x:c>
      <x:c r="C10" s="30" t="n">
        <x:f>C5*'Assumptions'!C8</x:f>
        <x:v>11595.294</x:v>
      </x:c>
      <x:c r="D10" s="30" t="n">
        <x:f>D5*'Assumptions'!D8</x:f>
        <x:v>12175.058700000001</x:v>
      </x:c>
      <x:c r="E10" s="30" t="n">
        <x:f>E5*'Assumptions'!E8</x:f>
        <x:v>12722.9363415</x:v>
      </x:c>
      <x:c r="F10" s="30" t="n">
        <x:f>F5*'Assumptions'!F8</x:f>
        <x:v>13231.853795160003</x:v>
      </x:c>
    </x:row>
    <x:row r="11">
      <x:c r="A11" s="16" t="str">
        <x:v>Change in NWC</x:v>
      </x:c>
      <x:c r="B11" s="30" t="n">
        <x:f>B5*'Assumptions'!B9</x:f>
        <x:v>17173.125</x:v>
      </x:c>
      <x:c r="C11" s="30" t="n">
        <x:f>C5*'Assumptions'!C9</x:f>
        <x:v>18117.646875</x:v>
      </x:c>
      <x:c r="D11" s="30" t="n">
        <x:f>D5*'Assumptions'!D9</x:f>
        <x:v>19023.52921875</x:v>
      </x:c>
      <x:c r="E11" s="30" t="n">
        <x:f>E5*'Assumptions'!E9</x:f>
        <x:v>19879.58803359375</x:v>
      </x:c>
      <x:c r="F11" s="30" t="n">
        <x:f>F5*'Assumptions'!F9</x:f>
        <x:v>20674.771554937503</x:v>
      </x:c>
    </x:row>
    <x:row r="12">
      <x:c r="A12" s="16" t="str">
        <x:v>Unlevered FCF</x:v>
      </x:c>
      <x:c r="B12" s="30" t="n">
        <x:f>B8+B9-B10-B11</x:f>
        <x:v>9525.36</x:v>
      </x:c>
      <x:c r="C12" s="30" t="n">
        <x:f>C8+C9-C10-C11</x:f>
        <x:v>10416.439110000007</x:v>
      </x:c>
      <x:c r="D12" s="30" t="n">
        <x:f>D8+D9-D10-D11</x:f>
        <x:v>11515.576353750002</x:v>
      </x:c>
      <x:c r="E12" s="30" t="n">
        <x:f>E8+E9-E10-E11</x:f>
        <x:v>12436.670273816257</x:v>
      </x:c>
      <x:c r="F12" s="30" t="n">
        <x:f>F8+F9-F10-F11</x:f>
        <x:v>13562.650140039</x:v>
      </x:c>
    </x:row>
    <x:row r="13">
      <x:c r="A13" s="16" t="str">
        <x:v>Discount period</x:v>
      </x:c>
      <x:c r="B13" s="16" t="n">
        <x:v>1</x:v>
      </x:c>
      <x:c r="C13" s="16" t="n">
        <x:v>2</x:v>
      </x:c>
      <x:c r="D13" s="16" t="n">
        <x:v>3</x:v>
      </x:c>
      <x:c r="E13" s="16" t="n">
        <x:v>4</x:v>
      </x:c>
      <x:c r="F13" s="16" t="n">
        <x:v>5</x:v>
      </x:c>
    </x:row>
    <x:row r="14">
      <x:c r="A14" s="16" t="str">
        <x:v>Discount factor</x:v>
      </x:c>
      <x:c r="B14" s="31" t="n">
        <x:f>1/(1+'Assumptions'!$B$10)^B13</x:f>
        <x:v>0.9157509157509157</x:v>
      </x:c>
      <x:c r="C14" s="31" t="n">
        <x:f>1/(1+'Assumptions'!$B$10)^C13</x:f>
        <x:v>0.8385997396986407</x:v>
      </x:c>
      <x:c r="D14" s="31" t="n">
        <x:f>1/(1+'Assumptions'!$B$10)^D13</x:f>
        <x:v>0.7679484795775097</x:v>
      </x:c>
      <x:c r="E14" s="31" t="n">
        <x:f>1/(1+'Assumptions'!$B$10)^E13</x:f>
        <x:v>0.7032495234226279</x:v>
      </x:c>
      <x:c r="F14" s="31" t="n">
        <x:f>1/(1+'Assumptions'!$B$10)^F13</x:f>
        <x:v>0.6440013950756664</x:v>
      </x:c>
    </x:row>
    <x:row r="15">
      <x:c r="A15" s="16" t="str">
        <x:v>PV of UFCF</x:v>
      </x:c>
      <x:c r="B15" s="31" t="n">
        <x:f>B12*B14</x:f>
        <x:v>8722.857142857143</x:v>
      </x:c>
      <x:c r="C15" s="31" t="n">
        <x:f>C12*C14</x:f>
        <x:v>8735.223126232746</x:v>
      </x:c>
      <x:c r="D15" s="31" t="n">
        <x:f>D12*D14</x:f>
        <x:v>8843.369352321037</x:v>
      </x:c>
      <x:c r="E15" s="31" t="n">
        <x:f>E12*E14</x:f>
        <x:v>8746.082443025645</x:v>
      </x:c>
      <x:c r="F15" s="31" t="n">
        <x:f>F12*F14</x:f>
        <x:v>8734.3656111083</x:v>
      </x:c>
    </x:row>
  </x:sheetData>
  <x:mergeCells>
    <x:mergeCell ref="A1:G1"/>
  </x:mergeCells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9" hidden="0" customWidth="1"/>
    <x:col min="2" max="2" width="18" hidden="0" customWidth="1"/>
    <x:col min="3" max="3" width="16" hidden="0" customWidth="1"/>
    <x:col min="4" max="4" width="15" hidden="0" customWidth="1"/>
    <x:col min="5" max="5" width="15" hidden="0" customWidth="1"/>
    <x:col min="6" max="6" width="15" hidden="0" customWidth="1"/>
    <x:col min="7" max="7" width="14" hidden="0" customWidth="1"/>
  </x:cols>
  <x:sheetData>
    <x:row r="1" ht="26" customHeight="1">
      <x:c r="A1" s="14" t="str">
        <x:v>Seaboard Enterprise and Equity Value</x:v>
      </x:c>
      <x:c r="B1" s="14"/>
      <x:c r="C1" s="14"/>
      <x:c r="D1" s="14"/>
      <x:c r="E1" s="14"/>
      <x:c r="F1" s="14"/>
      <x:c r="G1" s="14"/>
    </x:row>
    <x:row r="2">
      <x:c r="A2" s="15"/>
      <x:c r="B2" s="15"/>
      <x:c r="C2" s="15"/>
      <x:c r="D2" s="15"/>
      <x:c r="E2" s="15"/>
      <x:c r="F2" s="15"/>
      <x:c r="G2" s="15"/>
    </x:row>
    <x:row r="3">
      <x:c r="A3" s="15"/>
      <x:c r="B3" s="15"/>
      <x:c r="C3" s="15"/>
      <x:c r="D3" s="15"/>
      <x:c r="E3" s="15"/>
      <x:c r="F3" s="15"/>
      <x:c r="G3" s="15"/>
    </x:row>
    <x:row r="4">
      <x:c r="A4" s="10" t="str">
        <x:v>Valuation bridge ($m)</x:v>
      </x:c>
      <x:c r="B4" s="10" t="str">
        <x:v>Value</x:v>
      </x:c>
      <x:c r="C4" s="10" t="str">
        <x:v>Sensitivity / supporting values</x:v>
      </x:c>
      <x:c r="D4" s="10"/>
      <x:c r="E4" s="10"/>
      <x:c r="F4" s="10"/>
      <x:c r="G4" s="10"/>
    </x:row>
    <x:row r="5">
      <x:c r="A5" s="16" t="str">
        <x:v>PV of forecast UFCF</x:v>
      </x:c>
      <x:c r="B5" s="30" t="n">
        <x:f>SUM('Forecast'!B15:F15)</x:f>
        <x:v>43781.89767554487</x:v>
      </x:c>
      <x:c r="C5" s="16" t="str">
        <x:v>Terminal growth</x:v>
      </x:c>
      <x:c r="D5" s="32" t="n">
        <x:v>0.021</x:v>
      </x:c>
      <x:c r="E5" s="32" t="n">
        <x:v>0.026</x:v>
      </x:c>
      <x:c r="F5" s="32" t="n">
        <x:v>0.031</x:v>
      </x:c>
      <x:c r="G5" s="16" t="str">
        <x:v>WACC</x:v>
      </x:c>
    </x:row>
    <x:row r="6">
      <x:c r="A6" s="16" t="str">
        <x:v>Terminal FCF</x:v>
      </x:c>
      <x:c r="B6" s="30" t="n">
        <x:f>'Forecast'!F12*(1+'Assumptions'!$B$11)</x:f>
        <x:v>13915.279043680015</x:v>
      </x:c>
      <x:c r="C6" s="32" t="n">
        <x:v>0.082</x:v>
      </x:c>
      <x:c r="D6" s="30" t="n">
        <x:f>SUM('Forecast'!$B$12/(1+$C6)^'Forecast'!$B$13,'Forecast'!$C$12/(1+$C6)^'Forecast'!$C$13,'Forecast'!$D$12/(1+$C6)^'Forecast'!$D$13,'Forecast'!$E$12/(1+$C6)^'Forecast'!$E$13,'Forecast'!$F$12/(1+$C6)^'Forecast'!$F$13)+('Forecast'!$F$12*(1+D$5)/($C6-D$5))/(1+$C6)^'Forecast'!$F$13-'Valuation'!$B$12</x:f>
        <x:v>169586.14849466603</x:v>
      </x:c>
      <x:c r="E6" s="30" t="n">
        <x:f>SUM('Forecast'!$B$12/(1+$C6)^'Forecast'!$B$13,'Forecast'!$C$12/(1+$C6)^'Forecast'!$C$13,'Forecast'!$D$12/(1+$C6)^'Forecast'!$D$13,'Forecast'!$E$12/(1+$C6)^'Forecast'!$E$13,'Forecast'!$F$12/(1+$C6)^'Forecast'!$F$13)+('Forecast'!$F$12*(1+E$5)/($C6-E$5))/(1+$C6)^'Forecast'!$F$13-'Valuation'!$B$12</x:f>
        <x:v>184070.11987981302</x:v>
      </x:c>
      <x:c r="F6" s="30" t="n">
        <x:f>SUM('Forecast'!$B$12/(1+$C6)^'Forecast'!$B$13,'Forecast'!$C$12/(1+$C6)^'Forecast'!$C$13,'Forecast'!$D$12/(1+$C6)^'Forecast'!$D$13,'Forecast'!$E$12/(1+$C6)^'Forecast'!$E$13,'Forecast'!$F$12/(1+$C6)^'Forecast'!$F$13)+('Forecast'!$F$12*(1+F$5)/($C6-F$5))/(1+$C6)^'Forecast'!$F$13-'Valuation'!$B$12</x:f>
        <x:v>201394.0856542045</x:v>
      </x:c>
      <x:c r="G6" s="16"/>
    </x:row>
    <x:row r="7">
      <x:c r="A7" s="16" t="str">
        <x:v>Terminal value</x:v>
      </x:c>
      <x:c r="B7" s="30" t="n">
        <x:f>B6/('Assumptions'!$B$10-'Assumptions'!$B$11)</x:f>
        <x:v>210837.561267879</x:v>
      </x:c>
      <x:c r="C7" s="32" t="n">
        <x:v>0.092</x:v>
      </x:c>
      <x:c r="D7" s="30" t="n">
        <x:f>SUM('Forecast'!$B$12/(1+$C7)^'Forecast'!$B$13,'Forecast'!$C$12/(1+$C7)^'Forecast'!$C$13,'Forecast'!$D$12/(1+$C7)^'Forecast'!$D$13,'Forecast'!$E$12/(1+$C7)^'Forecast'!$E$13,'Forecast'!$F$12/(1+$C7)^'Forecast'!$F$13)+('Forecast'!$F$12*(1+D$5)/($C7-D$5))/(1+$C7)^'Forecast'!$F$13-'Valuation'!$B$12</x:f>
        <x:v>140884.5355479614</x:v>
      </x:c>
      <x:c r="E7" s="30" t="n">
        <x:f>SUM('Forecast'!$B$12/(1+$C7)^'Forecast'!$B$13,'Forecast'!$C$12/(1+$C7)^'Forecast'!$C$13,'Forecast'!$D$12/(1+$C7)^'Forecast'!$D$13,'Forecast'!$E$12/(1+$C7)^'Forecast'!$E$13,'Forecast'!$F$12/(1+$C7)^'Forecast'!$F$13)+('Forecast'!$F$12*(1+E$5)/($C7-E$5))/(1+$C7)^'Forecast'!$F$13-'Valuation'!$B$12</x:f>
        <x:v>151061.58126641024</x:v>
      </x:c>
      <x:c r="F7" s="30" t="n">
        <x:f>SUM('Forecast'!$B$12/(1+$C7)^'Forecast'!$B$13,'Forecast'!$C$12/(1+$C7)^'Forecast'!$C$13,'Forecast'!$D$12/(1+$C7)^'Forecast'!$D$13,'Forecast'!$E$12/(1+$C7)^'Forecast'!$E$13,'Forecast'!$F$12/(1+$C7)^'Forecast'!$F$13)+('Forecast'!$F$12*(1+F$5)/($C7-F$5))/(1+$C7)^'Forecast'!$F$13-'Valuation'!$B$12</x:f>
        <x:v>162906.99513542448</x:v>
      </x:c>
      <x:c r="G7" s="16"/>
    </x:row>
    <x:row r="8">
      <x:c r="A8" s="16" t="str">
        <x:v>PV of terminal value</x:v>
      </x:c>
      <x:c r="B8" s="30" t="n">
        <x:f>B7*'Forecast'!F14</x:f>
        <x:v>135779.68359086537</x:v>
      </x:c>
      <x:c r="C8" s="32" t="n">
        <x:v>0.102</x:v>
      </x:c>
      <x:c r="D8" s="30" t="n">
        <x:f>SUM('Forecast'!$B$12/(1+$C8)^'Forecast'!$B$13,'Forecast'!$C$12/(1+$C8)^'Forecast'!$C$13,'Forecast'!$D$12/(1+$C8)^'Forecast'!$D$13,'Forecast'!$E$12/(1+$C8)^'Forecast'!$E$13,'Forecast'!$F$12/(1+$C8)^'Forecast'!$F$13)+('Forecast'!$F$12*(1+D$5)/($C8-D$5))/(1+$C8)^'Forecast'!$F$13-'Valuation'!$B$12</x:f>
        <x:v>119294.71668617241</x:v>
      </x:c>
      <x:c r="E8" s="30" t="n">
        <x:f>SUM('Forecast'!$B$12/(1+$C8)^'Forecast'!$B$13,'Forecast'!$C$12/(1+$C8)^'Forecast'!$C$13,'Forecast'!$D$12/(1+$C8)^'Forecast'!$D$13,'Forecast'!$E$12/(1+$C8)^'Forecast'!$E$13,'Forecast'!$F$12/(1+$C8)^'Forecast'!$F$13)+('Forecast'!$F$12*(1+E$5)/($C8-E$5))/(1+$C8)^'Forecast'!$F$13-'Valuation'!$B$12</x:f>
        <x:v>126764.1830175296</x:v>
      </x:c>
      <x:c r="F8" s="30" t="n">
        <x:f>SUM('Forecast'!$B$12/(1+$C8)^'Forecast'!$B$13,'Forecast'!$C$12/(1+$C8)^'Forecast'!$C$13,'Forecast'!$D$12/(1+$C8)^'Forecast'!$D$13,'Forecast'!$E$12/(1+$C8)^'Forecast'!$E$13,'Forecast'!$F$12/(1+$C8)^'Forecast'!$F$13)+('Forecast'!$F$12*(1+F$5)/($C8-F$5))/(1+$C8)^'Forecast'!$F$13-'Valuation'!$B$12</x:f>
        <x:v>135285.68686034554</x:v>
      </x:c>
      <x:c r="G8" s="16"/>
    </x:row>
    <x:row r="9">
      <x:c r="A9" s="16" t="str">
        <x:v>Enterprise value</x:v>
      </x:c>
      <x:c r="B9" s="30" t="n">
        <x:f>B5+B8</x:f>
        <x:v>179561.58126641024</x:v>
      </x:c>
      <x:c r="C9" s="16"/>
      <x:c r="D9" s="16"/>
      <x:c r="E9" s="16"/>
      <x:c r="F9" s="16"/>
      <x:c r="G9" s="16"/>
    </x:row>
    <x:row r="10">
      <x:c r="A10" s="16" t="str">
        <x:v>Cash</x:v>
      </x:c>
      <x:c r="B10" s="30" t="n">
        <x:f>'Source_Data'!D8</x:f>
        <x:v>18000</x:v>
      </x:c>
      <x:c r="C10" s="16"/>
      <x:c r="D10" s="16"/>
      <x:c r="E10" s="16"/>
      <x:c r="F10" s="16"/>
      <x:c r="G10" s="16"/>
    </x:row>
    <x:row r="11">
      <x:c r="A11" s="16" t="str">
        <x:v>Debt (assumption)</x:v>
      </x:c>
      <x:c r="B11" s="30" t="n">
        <x:v>46500</x:v>
      </x:c>
      <x:c r="C11" s="16"/>
      <x:c r="D11" s="16"/>
      <x:c r="E11" s="16"/>
      <x:c r="F11" s="16"/>
      <x:c r="G11" s="16"/>
    </x:row>
    <x:row r="12">
      <x:c r="A12" s="16" t="str">
        <x:v>Net debt</x:v>
      </x:c>
      <x:c r="B12" s="30" t="n">
        <x:f>B11-B10</x:f>
        <x:v>28500</x:v>
      </x:c>
      <x:c r="C12" s="16"/>
      <x:c r="D12" s="16"/>
      <x:c r="E12" s="16"/>
      <x:c r="F12" s="16"/>
      <x:c r="G12" s="16"/>
    </x:row>
    <x:row r="13">
      <x:c r="A13" s="16" t="str">
        <x:v>Equity value</x:v>
      </x:c>
      <x:c r="B13" s="30" t="n">
        <x:f>B9-B12</x:f>
        <x:v>151061.58126641024</x:v>
      </x:c>
      <x:c r="C13" s="16"/>
      <x:c r="D13" s="16"/>
      <x:c r="E13" s="16"/>
      <x:c r="F13" s="16"/>
      <x:c r="G13" s="16"/>
    </x:row>
  </x:sheetData>
  <x:mergeCells>
    <x:mergeCell ref="A1:G1"/>
  </x:mergeCells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8" hidden="0" customWidth="1"/>
    <x:col min="2" max="2" width="17" hidden="0" customWidth="1"/>
    <x:col min="3" max="3" width="17" hidden="0" customWidth="1"/>
    <x:col min="4" max="4" width="14" hidden="0" customWidth="1"/>
    <x:col min="5" max="5" width="50" hidden="0" customWidth="1"/>
  </x:cols>
  <x:sheetData>
    <x:row r="1" ht="26" customHeight="1">
      <x:c r="A1" s="14" t="str">
        <x:v>Seaboard DCF Model Checks</x:v>
      </x:c>
      <x:c r="B1" s="14"/>
      <x:c r="C1" s="14"/>
      <x:c r="D1" s="14"/>
      <x:c r="E1" s="14"/>
    </x:row>
    <x:row r="2">
      <x:c r="A2" s="15"/>
      <x:c r="B2" s="15"/>
      <x:c r="C2" s="15"/>
      <x:c r="D2" s="15"/>
      <x:c r="E2" s="15"/>
    </x:row>
    <x:row r="3">
      <x:c r="A3" s="10" t="str">
        <x:v>Check</x:v>
      </x:c>
      <x:c r="B3" s="10" t="str">
        <x:v>Actual</x:v>
      </x:c>
      <x:c r="C3" s="10" t="str">
        <x:v>Expected</x:v>
      </x:c>
      <x:c r="D3" s="10" t="str">
        <x:v>Status</x:v>
      </x:c>
      <x:c r="E3" s="10" t="str">
        <x:v>Notes</x:v>
      </x:c>
    </x:row>
    <x:row r="4">
      <x:c r="A4" s="16" t="str">
        <x:v>FCF component check</x:v>
      </x:c>
      <x:c r="B4" s="30" t="n">
        <x:f>'Forecast'!F12-('Forecast'!F8+'Forecast'!F9-'Forecast'!F10-'Forecast'!F11)</x:f>
        <x:v>0</x:v>
      </x:c>
      <x:c r="C4" s="30" t="n">
        <x:v>0</x:v>
      </x:c>
      <x:c r="D4" s="16" t="str">
        <x:f>IF(ABS(B4-C4)&lt;0.1,"PASS","CHECK")</x:f>
        <x:v>PASS</x:v>
      </x:c>
      <x:c r="E4" s="16" t="str">
        <x:v>UFCF must be formula-derived from NOPAT, D&amp;A, capex and NWC</x:v>
      </x:c>
    </x:row>
    <x:row r="5">
      <x:c r="A5" s="16" t="str">
        <x:v>Terminal spread</x:v>
      </x:c>
      <x:c r="B5" s="30" t="n">
        <x:f>'Assumptions'!$B$10-'Assumptions'!$B$11</x:f>
        <x:v>0.066</x:v>
      </x:c>
      <x:c r="C5" s="30" t="n">
        <x:v>0</x:v>
      </x:c>
      <x:c r="D5" s="16" t="str">
        <x:f>IF(B5&gt;0,"PASS","CHECK")</x:f>
        <x:v>PASS</x:v>
      </x:c>
      <x:c r="E5" s="16" t="str">
        <x:v>WACC must exceed terminal growth</x:v>
      </x:c>
    </x:row>
    <x:row r="6">
      <x:c r="A6" s="16" t="str">
        <x:v>Enterprise value formula</x:v>
      </x:c>
      <x:c r="B6" s="30" t="n">
        <x:f>'Valuation'!B9-('Valuation'!B5+'Valuation'!B8)</x:f>
        <x:v>0</x:v>
      </x:c>
      <x:c r="C6" s="30"/>
      <x:c r="D6" s="16" t="str">
        <x:f>IF(ABS(B6)&lt;0.1,"PASS","CHECK")</x:f>
        <x:v>PASS</x:v>
      </x:c>
      <x:c r="E6" s="16" t="str">
        <x:v>Forecast PV plus terminal PV</x:v>
      </x:c>
    </x:row>
    <x:row r="7">
      <x:c r="A7" s="16" t="str">
        <x:v>Equity bridge</x:v>
      </x:c>
      <x:c r="B7" s="30" t="n">
        <x:f>'Valuation'!B13-('Valuation'!B9-'Valuation'!B12)</x:f>
        <x:v>0</x:v>
      </x:c>
      <x:c r="C7" s="30"/>
      <x:c r="D7" s="16" t="str">
        <x:f>IF(ABS(B7)&lt;0.1,"PASS","CHECK")</x:f>
        <x:v>PASS</x:v>
      </x:c>
      <x:c r="E7" s="16" t="str">
        <x:v>EV less net debt</x:v>
      </x:c>
    </x:row>
    <x:row r="8">
      <x:c r="A8" s="16" t="str">
        <x:v>Source protection</x:v>
      </x:c>
      <x:c r="B8" s="16"/>
      <x:c r="C8" s="16"/>
      <x:c r="D8" s="16"/>
      <x:c r="E8" s="16" t="str">
        <x:v>Historical source values must not be edited</x:v>
      </x:c>
    </x:row>
  </x:sheetData>
  <x:mergeCells>
    <x:mergeCell ref="A1:E1"/>
  </x:mergeCells>
  <x:pageMargins left="0.7" right="0.7" top="0.75" bottom="0.75" header="0.3" footer="0.3"/>
</x:worksheet>
</file>