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d2cf7e5cb644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Data" sheetId="1" r:id="Rf6397954e22d4a46"/>
    <x:sheet xmlns:r="http://schemas.openxmlformats.org/officeDocument/2006/relationships" name="Assumptions" sheetId="2" r:id="R5b66c5ed761c45a9"/>
    <x:sheet xmlns:r="http://schemas.openxmlformats.org/officeDocument/2006/relationships" name="Forecast" sheetId="3" r:id="R9d23194672594281"/>
    <x:sheet xmlns:r="http://schemas.openxmlformats.org/officeDocument/2006/relationships" name="Valuation" sheetId="4" r:id="Ra2c703ca48f44207"/>
    <x:sheet xmlns:r="http://schemas.openxmlformats.org/officeDocument/2006/relationships" name="Checks" sheetId="5" r:id="R5753f82789b84b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#,##0.0"/>
    <x:numFmt numFmtId="203" formatCode="0.000x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/>
    <x:xf numFmtId="0" fontId="3" fillId="0" borderId="0" xfId="0" applyNumberFormat="1" applyFont="1" applyFill="1" applyBorder="1"/>
    <x:xf numFmtId="201" fontId="3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08f42b7e6647ad" /><Relationship Type="http://schemas.openxmlformats.org/officeDocument/2006/relationships/theme" Target="/xl/theme/theme1.xml" Id="R8ef5a5d0487e4bb6" /><Relationship Type="http://schemas.openxmlformats.org/officeDocument/2006/relationships/sharedStrings" Target="/xl/sharedStrings.xml" Id="R2e1b2aa88f66429b" /><Relationship Type="http://schemas.openxmlformats.org/officeDocument/2006/relationships/worksheet" Target="/xl/worksheets/sheet1.xml" Id="Rf6397954e22d4a46" /><Relationship Type="http://schemas.openxmlformats.org/officeDocument/2006/relationships/worksheet" Target="/xl/worksheets/sheet2.xml" Id="R5b66c5ed761c45a9" /><Relationship Type="http://schemas.openxmlformats.org/officeDocument/2006/relationships/worksheet" Target="/xl/worksheets/sheet3.xml" Id="R9d23194672594281" /><Relationship Type="http://schemas.openxmlformats.org/officeDocument/2006/relationships/worksheet" Target="/xl/worksheets/sheet4.xml" Id="Ra2c703ca48f44207" /><Relationship Type="http://schemas.openxmlformats.org/officeDocument/2006/relationships/worksheet" Target="/xl/worksheets/sheet5.xml" Id="R5753f82789b84b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4" hidden="0" customWidth="1"/>
    <x:col min="5" max="5" width="45" hidden="0" customWidth="1"/>
    <x:col min="6" max="6" width="54" hidden="0" customWidth="1"/>
    <x:col min="7" max="7" width="34" hidden="0" customWidth="1"/>
  </x:cols>
  <x:sheetData>
    <x:row r="1" ht="26" customHeight="1">
      <x:c r="A1" s="14" t="str">
        <x:v>Seaboard Industrial Systems — Historical Financial Source Extract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0" t="str">
        <x:v>Metric ($m unless noted)</x:v>
      </x:c>
      <x:c r="B3" s="10" t="str">
        <x:v>FY2022A</x:v>
      </x:c>
      <x:c r="C3" s="10" t="str">
        <x:v>FY2023A</x:v>
      </x:c>
      <x:c r="D3" s="10" t="str">
        <x:v>FY2024A</x:v>
      </x:c>
      <x:c r="E3" s="10" t="str">
        <x:v>Source tag</x:v>
      </x:c>
      <x:c r="F3" s="10" t="str">
        <x:v>Source URL</x:v>
      </x:c>
      <x:c r="G3" s="10" t="str">
        <x:v>Note</x:v>
      </x:c>
    </x:row>
    <x:row r="4">
      <x:c r="A4" s="16" t="str">
        <x:v>Revenue</x:v>
      </x:c>
      <x:c r="B4" s="17" t="n">
        <x:v>188000</x:v>
      </x:c>
      <x:c r="C4" s="17" t="n">
        <x:v>201000</x:v>
      </x:c>
      <x:c r="D4" s="17" t="n">
        <x:v>215000</x:v>
      </x:c>
      <x:c r="E4" s="16" t="str">
        <x:v>us-gaap:RevenueFromContractWithCustomerExcludingAssessedTax</x:v>
      </x:c>
      <x:c r="F4" s="16" t="str">
        <x:v>https://data.sec.gov/api/xbrl/companyfacts/CIK0000320193.json</x:v>
      </x:c>
      <x:c r="G4" s="16" t="str">
        <x:v>Apple Inc. Company Facts; task uses values as historical input</x:v>
      </x:c>
    </x:row>
    <x:row r="5">
      <x:c r="A5" s="16" t="str">
        <x:v>Operating income</x:v>
      </x:c>
      <x:c r="B5" s="17" t="n">
        <x:v>26700</x:v>
      </x:c>
      <x:c r="C5" s="17" t="n">
        <x:v>29500</x:v>
      </x:c>
      <x:c r="D5" s="17" t="n">
        <x:v>32250</x:v>
      </x:c>
      <x:c r="E5" s="16" t="str">
        <x:v>us-gaap:OperatingIncomeLoss</x:v>
      </x:c>
      <x:c r="F5" s="16" t="str">
        <x:v>https://data.sec.gov/api/xbrl/companyfacts/CIK0000320193.json</x:v>
      </x:c>
      <x:c r="G5" s="16" t="str">
        <x:v>Historical margin anchor</x:v>
      </x:c>
    </x:row>
    <x:row r="6">
      <x:c r="A6" s="16" t="str">
        <x:v>D&amp;A</x:v>
      </x:c>
      <x:c r="B6" s="17" t="n">
        <x:v>7900</x:v>
      </x:c>
      <x:c r="C6" s="17" t="n">
        <x:v>8500</x:v>
      </x:c>
      <x:c r="D6" s="17" t="n">
        <x:v>9200</x:v>
      </x:c>
      <x:c r="E6" s="16" t="str">
        <x:v>us-gaap:DepreciationDepletionAndAmortization</x:v>
      </x:c>
      <x:c r="F6" s="16" t="str">
        <x:v>https://data.sec.gov/api/xbrl/companyfacts/CIK0000320193.json</x:v>
      </x:c>
      <x:c r="G6" s="16" t="str">
        <x:v>Cash-flow input</x:v>
      </x:c>
    </x:row>
    <x:row r="7">
      <x:c r="A7" s="16" t="str">
        <x:v>Capital expenditures</x:v>
      </x:c>
      <x:c r="B7" s="17" t="n">
        <x:v>9100</x:v>
      </x:c>
      <x:c r="C7" s="17" t="n">
        <x:v>9700</x:v>
      </x:c>
      <x:c r="D7" s="17" t="n">
        <x:v>10500</x:v>
      </x:c>
      <x:c r="E7" s="16" t="str">
        <x:v>us-gaap:PaymentsToAcquirePropertyPlantAndEquipment</x:v>
      </x:c>
      <x:c r="F7" s="16" t="str">
        <x:v>https://data.sec.gov/api/xbrl/companyfacts/CIK0000320193.json</x:v>
      </x:c>
      <x:c r="G7" s="16" t="str">
        <x:v>Cash-flow input</x:v>
      </x:c>
    </x:row>
    <x:row r="8">
      <x:c r="A8" s="16" t="str">
        <x:v>Cash</x:v>
      </x:c>
      <x:c r="B8" s="17" t="n">
        <x:v>15100</x:v>
      </x:c>
      <x:c r="C8" s="17" t="n">
        <x:v>16400</x:v>
      </x:c>
      <x:c r="D8" s="17" t="n">
        <x:v>18000</x:v>
      </x:c>
      <x:c r="E8" s="16" t="str">
        <x:v>us-gaap:CashAndCashEquivalentsAtCarryingValue</x:v>
      </x:c>
      <x:c r="F8" s="16" t="str">
        <x:v>https://data.sec.gov/api/xbrl/companyfacts/CIK0000320193.json</x:v>
      </x:c>
      <x:c r="G8" s="16" t="str">
        <x:v>Equity bridge input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42" hidden="0" customWidth="1"/>
  </x:cols>
  <x:sheetData>
    <x:row r="1" ht="26" customHeight="1">
      <x:c r="A1" s="14" t="str">
        <x:v>Seaboard Industrial Systems DCF Assumptions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0" t="str">
        <x:v>Assumption</x:v>
      </x:c>
      <x:c r="B3" s="10" t="str">
        <x:v>2025E</x:v>
      </x:c>
      <x:c r="C3" s="10" t="str">
        <x:v>2026E</x:v>
      </x:c>
      <x:c r="D3" s="10" t="str">
        <x:v>2027E</x:v>
      </x:c>
      <x:c r="E3" s="10" t="str">
        <x:v>2028E</x:v>
      </x:c>
      <x:c r="F3" s="10" t="str">
        <x:v>2029E</x:v>
      </x:c>
      <x:c r="G3" s="10" t="str">
        <x:v>Source / convention</x:v>
      </x:c>
    </x:row>
    <x:row r="4">
      <x:c r="A4" s="16" t="str">
        <x:v>Revenue growth</x:v>
      </x:c>
      <x:c r="B4" s="24" t="n">
        <x:v>0.065</x:v>
      </x:c>
      <x:c r="C4" s="24" t="n">
        <x:v>0.055</x:v>
      </x:c>
      <x:c r="D4" s="24" t="n">
        <x:v>0.05</x:v>
      </x:c>
      <x:c r="E4" s="24" t="n">
        <x:v>0.045</x:v>
      </x:c>
      <x:c r="F4" s="24" t="n">
        <x:v>0.04</x:v>
      </x:c>
      <x:c r="G4" s="16" t="str">
        <x:v>Benchmark-authored forecast case</x:v>
      </x:c>
    </x:row>
    <x:row r="5">
      <x:c r="A5" s="16" t="str">
        <x:v>EBIT margin</x:v>
      </x:c>
      <x:c r="B5" s="24" t="n">
        <x:v>0.16</x:v>
      </x:c>
      <x:c r="C5" s="24" t="n">
        <x:v>0.162</x:v>
      </x:c>
      <x:c r="D5" s="24" t="n">
        <x:v>0.165</x:v>
      </x:c>
      <x:c r="E5" s="24" t="n">
        <x:v>0.167</x:v>
      </x:c>
      <x:c r="F5" s="24" t="n">
        <x:v>0.17</x:v>
      </x:c>
      <x:c r="G5" s="16" t="str">
        <x:v>Held near FY2024 operating margin</x:v>
      </x:c>
    </x:row>
    <x:row r="6">
      <x:c r="A6" s="16" t="str">
        <x:v>Tax rate</x:v>
      </x:c>
      <x:c r="B6" s="24" t="n">
        <x:v>0.24</x:v>
      </x:c>
      <x:c r="C6" s="24" t="n">
        <x:v>0.24</x:v>
      </x:c>
      <x:c r="D6" s="24" t="n">
        <x:v>0.24</x:v>
      </x:c>
      <x:c r="E6" s="24" t="n">
        <x:v>0.24</x:v>
      </x:c>
      <x:c r="F6" s="24" t="n">
        <x:v>0.24</x:v>
      </x:c>
      <x:c r="G6" s="16" t="str">
        <x:v>Normalized statutory rate</x:v>
      </x:c>
    </x:row>
    <x:row r="7">
      <x:c r="A7" s="16" t="str">
        <x:v>D&amp;A as % revenue</x:v>
      </x:c>
      <x:c r="B7" s="24" t="n">
        <x:v>0.043</x:v>
      </x:c>
      <x:c r="C7" s="24" t="n">
        <x:v>0.043</x:v>
      </x:c>
      <x:c r="D7" s="24" t="n">
        <x:v>0.043</x:v>
      </x:c>
      <x:c r="E7" s="24" t="n">
        <x:v>0.043</x:v>
      </x:c>
      <x:c r="F7" s="24" t="n">
        <x:v>0.043</x:v>
      </x:c>
      <x:c r="G7" s="16" t="str">
        <x:v>Historical anchor</x:v>
      </x:c>
    </x:row>
    <x:row r="8">
      <x:c r="A8" s="16" t="str">
        <x:v>Capex as % revenue</x:v>
      </x:c>
      <x:c r="B8" s="24" t="n">
        <x:v>0.048</x:v>
      </x:c>
      <x:c r="C8" s="24" t="n">
        <x:v>0.048</x:v>
      </x:c>
      <x:c r="D8" s="24" t="n">
        <x:v>0.048</x:v>
      </x:c>
      <x:c r="E8" s="24" t="n">
        <x:v>0.048</x:v>
      </x:c>
      <x:c r="F8" s="24" t="n">
        <x:v>0.048</x:v>
      </x:c>
      <x:c r="G8" s="16" t="str">
        <x:v>Historical anchor</x:v>
      </x:c>
    </x:row>
    <x:row r="9">
      <x:c r="A9" s="16" t="str">
        <x:v>Change in NWC as % revenue</x:v>
      </x:c>
      <x:c r="B9" s="24" t="n">
        <x:v>0.075</x:v>
      </x:c>
      <x:c r="C9" s="24" t="n">
        <x:v>0.075</x:v>
      </x:c>
      <x:c r="D9" s="24" t="n">
        <x:v>0.075</x:v>
      </x:c>
      <x:c r="E9" s="24" t="n">
        <x:v>0.075</x:v>
      </x:c>
      <x:c r="F9" s="24" t="n">
        <x:v>0.075</x:v>
      </x:c>
      <x:c r="G9" s="16" t="str">
        <x:v>Planning convention</x:v>
      </x:c>
    </x:row>
    <x:row r="10">
      <x:c r="A10" s="16" t="str">
        <x:v>WACC</x:v>
      </x:c>
      <x:c r="B10" s="24" t="n">
        <x:v>0.092</x:v>
      </x:c>
      <x:c r="C10" s="24"/>
      <x:c r="D10" s="24"/>
      <x:c r="E10" s="24"/>
      <x:c r="F10" s="24"/>
      <x:c r="G10" s="16" t="str">
        <x:v>Applied to all forecast periods</x:v>
      </x:c>
    </x:row>
    <x:row r="11">
      <x:c r="A11" s="16" t="str">
        <x:v>Terminal growth</x:v>
      </x:c>
      <x:c r="B11" s="24" t="n">
        <x:v>0.026</x:v>
      </x:c>
      <x:c r="C11" s="25"/>
      <x:c r="D11" s="25"/>
      <x:c r="E11" s="25"/>
      <x:c r="F11" s="25"/>
      <x:c r="G11" s="16" t="str">
        <x:v>Gordon growth convention</x:v>
      </x:c>
    </x:row>
    <x:row r="12">
      <x:c r="A12" s="15"/>
      <x:c r="B12" s="26"/>
      <x:c r="C12" s="27"/>
      <x:c r="D12" s="27"/>
      <x:c r="E12" s="27"/>
      <x:c r="F12" s="27"/>
      <x:c r="G12" s="15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6" customHeight="1">
      <x:c r="A1" s="14" t="str">
        <x:v>Seaboard DCF Forecast and Unlevered Free Cash Flow</x:v>
      </x:c>
      <x:c r="B1" s="14"/>
      <x:c r="C1" s="14"/>
      <x:c r="D1" s="14"/>
      <x:c r="E1" s="14"/>
      <x:c r="F1" s="14"/>
      <x:c r="G1" s="4"/>
    </x:row>
    <x:row r="2">
      <x:c r="A2" s="15"/>
      <x:c r="B2" s="15"/>
      <x:c r="C2" s="15"/>
      <x:c r="D2" s="15"/>
      <x:c r="E2" s="15"/>
      <x:c r="F2" s="15"/>
    </x:row>
    <x:row r="3">
      <x:c r="A3" s="15"/>
      <x:c r="B3" s="15"/>
      <x:c r="C3" s="15"/>
      <x:c r="D3" s="15"/>
      <x:c r="E3" s="15"/>
      <x:c r="F3" s="15"/>
    </x:row>
    <x:row r="4">
      <x:c r="A4" s="10" t="str">
        <x:v>Metric ($m unless noted)</x:v>
      </x:c>
      <x:c r="B4" s="10" t="str">
        <x:v>2025E</x:v>
      </x:c>
      <x:c r="C4" s="10" t="str">
        <x:v>2026E</x:v>
      </x:c>
      <x:c r="D4" s="10" t="str">
        <x:v>2027E</x:v>
      </x:c>
      <x:c r="E4" s="10" t="str">
        <x:v>2028E</x:v>
      </x:c>
      <x:c r="F4" s="10" t="str">
        <x:v>2029E</x:v>
      </x:c>
    </x:row>
    <x:row r="5">
      <x:c r="A5" s="16" t="str">
        <x:v>Revenue</x:v>
      </x:c>
      <x:c r="B5" s="30"/>
      <x:c r="C5" s="30"/>
      <x:c r="D5" s="30"/>
      <x:c r="E5" s="30"/>
      <x:c r="F5" s="30"/>
    </x:row>
    <x:row r="6">
      <x:c r="A6" s="16" t="str">
        <x:v>EBIT</x:v>
      </x:c>
      <x:c r="B6" s="30"/>
      <x:c r="C6" s="30"/>
      <x:c r="D6" s="30"/>
      <x:c r="E6" s="30"/>
      <x:c r="F6" s="30"/>
    </x:row>
    <x:row r="7">
      <x:c r="A7" s="16" t="str">
        <x:v>Cash taxes</x:v>
      </x:c>
      <x:c r="B7" s="30"/>
      <x:c r="C7" s="30"/>
      <x:c r="D7" s="30"/>
      <x:c r="E7" s="30"/>
      <x:c r="F7" s="30"/>
    </x:row>
    <x:row r="8">
      <x:c r="A8" s="16" t="str">
        <x:v>NOPAT</x:v>
      </x:c>
      <x:c r="B8" s="30"/>
      <x:c r="C8" s="30"/>
      <x:c r="D8" s="30"/>
      <x:c r="E8" s="30"/>
      <x:c r="F8" s="30"/>
    </x:row>
    <x:row r="9">
      <x:c r="A9" s="16" t="str">
        <x:v>D&amp;A</x:v>
      </x:c>
      <x:c r="B9" s="30"/>
      <x:c r="C9" s="30"/>
      <x:c r="D9" s="30"/>
      <x:c r="E9" s="30"/>
      <x:c r="F9" s="30"/>
    </x:row>
    <x:row r="10">
      <x:c r="A10" s="16" t="str">
        <x:v>Capital expenditures</x:v>
      </x:c>
      <x:c r="B10" s="30"/>
      <x:c r="C10" s="30"/>
      <x:c r="D10" s="30"/>
      <x:c r="E10" s="30"/>
      <x:c r="F10" s="30"/>
    </x:row>
    <x:row r="11">
      <x:c r="A11" s="16" t="str">
        <x:v>Change in NWC</x:v>
      </x:c>
      <x:c r="B11" s="30"/>
      <x:c r="C11" s="30"/>
      <x:c r="D11" s="30"/>
      <x:c r="E11" s="30"/>
      <x:c r="F11" s="30"/>
    </x:row>
    <x:row r="12">
      <x:c r="A12" s="16" t="str">
        <x:v>Unlevered FCF</x:v>
      </x:c>
      <x:c r="B12" s="30"/>
      <x:c r="C12" s="30"/>
      <x:c r="D12" s="30"/>
      <x:c r="E12" s="30"/>
      <x:c r="F12" s="30"/>
    </x:row>
    <x:row r="13">
      <x:c r="A13" s="16" t="str">
        <x:v>Discount period</x:v>
      </x:c>
      <x:c r="B13" s="16" t="n">
        <x:v>1</x:v>
      </x:c>
      <x:c r="C13" s="16" t="n">
        <x:v>2</x:v>
      </x:c>
      <x:c r="D13" s="16" t="n">
        <x:v>3</x:v>
      </x:c>
      <x:c r="E13" s="16" t="n">
        <x:v>4</x:v>
      </x:c>
      <x:c r="F13" s="16" t="n">
        <x:v>5</x:v>
      </x:c>
    </x:row>
    <x:row r="14">
      <x:c r="A14" s="16" t="str">
        <x:v>Discount factor</x:v>
      </x:c>
      <x:c r="B14" s="31"/>
      <x:c r="C14" s="31"/>
      <x:c r="D14" s="31"/>
      <x:c r="E14" s="31"/>
      <x:c r="F14" s="31"/>
    </x:row>
    <x:row r="15">
      <x:c r="A15" s="16" t="str">
        <x:v>PV of UFCF</x:v>
      </x:c>
      <x:c r="B15" s="31"/>
      <x:c r="C15" s="31"/>
      <x:c r="D15" s="31"/>
      <x:c r="E15" s="31"/>
      <x:c r="F15" s="31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4" hidden="0" customWidth="1"/>
  </x:cols>
  <x:sheetData>
    <x:row r="1" ht="26" customHeight="1">
      <x:c r="A1" s="14" t="str">
        <x:v>Seaboard Enterprise and Equity Value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5"/>
      <x:c r="B3" s="15"/>
      <x:c r="C3" s="15"/>
      <x:c r="D3" s="15"/>
      <x:c r="E3" s="15"/>
      <x:c r="F3" s="15"/>
      <x:c r="G3" s="15"/>
    </x:row>
    <x:row r="4">
      <x:c r="A4" s="10" t="str">
        <x:v>Valuation bridge ($m)</x:v>
      </x:c>
      <x:c r="B4" s="10" t="str">
        <x:v>Value</x:v>
      </x:c>
      <x:c r="C4" s="10" t="str">
        <x:v>Sensitivity / supporting values</x:v>
      </x:c>
      <x:c r="D4" s="10"/>
      <x:c r="E4" s="10"/>
      <x:c r="F4" s="10"/>
      <x:c r="G4" s="10"/>
    </x:row>
    <x:row r="5">
      <x:c r="A5" s="16" t="str">
        <x:v>PV of forecast UFCF</x:v>
      </x:c>
      <x:c r="B5" s="30"/>
      <x:c r="C5" s="16" t="str">
        <x:v>Terminal growth</x:v>
      </x:c>
      <x:c r="D5" s="32" t="n">
        <x:v>0.021</x:v>
      </x:c>
      <x:c r="E5" s="32" t="n">
        <x:v>0.026</x:v>
      </x:c>
      <x:c r="F5" s="32" t="n">
        <x:v>0.031</x:v>
      </x:c>
      <x:c r="G5" s="16" t="str">
        <x:v>WACC</x:v>
      </x:c>
    </x:row>
    <x:row r="6">
      <x:c r="A6" s="16" t="str">
        <x:v>Terminal FCF</x:v>
      </x:c>
      <x:c r="B6" s="30"/>
      <x:c r="C6" s="32" t="n">
        <x:v>0.082</x:v>
      </x:c>
      <x:c r="D6" s="30"/>
      <x:c r="E6" s="30"/>
      <x:c r="F6" s="30"/>
      <x:c r="G6" s="16"/>
    </x:row>
    <x:row r="7">
      <x:c r="A7" s="16" t="str">
        <x:v>Terminal value</x:v>
      </x:c>
      <x:c r="B7" s="30"/>
      <x:c r="C7" s="32" t="n">
        <x:v>0.092</x:v>
      </x:c>
      <x:c r="D7" s="30"/>
      <x:c r="E7" s="30"/>
      <x:c r="F7" s="30"/>
      <x:c r="G7" s="16"/>
    </x:row>
    <x:row r="8">
      <x:c r="A8" s="16" t="str">
        <x:v>PV of terminal value</x:v>
      </x:c>
      <x:c r="B8" s="30"/>
      <x:c r="C8" s="32" t="n">
        <x:v>0.102</x:v>
      </x:c>
      <x:c r="D8" s="30"/>
      <x:c r="E8" s="30"/>
      <x:c r="F8" s="30"/>
      <x:c r="G8" s="16"/>
    </x:row>
    <x:row r="9">
      <x:c r="A9" s="16" t="str">
        <x:v>Enterprise value</x:v>
      </x:c>
      <x:c r="B9" s="30"/>
      <x:c r="C9" s="16"/>
      <x:c r="D9" s="16"/>
      <x:c r="E9" s="16"/>
      <x:c r="F9" s="16"/>
      <x:c r="G9" s="16"/>
    </x:row>
    <x:row r="10">
      <x:c r="A10" s="16" t="str">
        <x:v>Cash</x:v>
      </x:c>
      <x:c r="B10" s="30"/>
      <x:c r="C10" s="16"/>
      <x:c r="D10" s="16"/>
      <x:c r="E10" s="16"/>
      <x:c r="F10" s="16"/>
      <x:c r="G10" s="16"/>
    </x:row>
    <x:row r="11">
      <x:c r="A11" s="16" t="str">
        <x:v>Debt (assumption)</x:v>
      </x:c>
      <x:c r="B11" s="30" t="n">
        <x:v>46500</x:v>
      </x:c>
      <x:c r="C11" s="16"/>
      <x:c r="D11" s="16"/>
      <x:c r="E11" s="16"/>
      <x:c r="F11" s="16"/>
      <x:c r="G11" s="16"/>
    </x:row>
    <x:row r="12">
      <x:c r="A12" s="16" t="str">
        <x:v>Net debt</x:v>
      </x:c>
      <x:c r="B12" s="30"/>
      <x:c r="C12" s="16"/>
      <x:c r="D12" s="16"/>
      <x:c r="E12" s="16"/>
      <x:c r="F12" s="16"/>
      <x:c r="G12" s="16"/>
    </x:row>
    <x:row r="13">
      <x:c r="A13" s="16" t="str">
        <x:v>Equity value</x:v>
      </x:c>
      <x:c r="B13" s="30"/>
      <x:c r="C13" s="16"/>
      <x:c r="D13" s="16"/>
      <x:c r="E13" s="16"/>
      <x:c r="F13" s="16"/>
      <x:c r="G13" s="16"/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4" hidden="0" customWidth="1"/>
    <x:col min="5" max="5" width="50" hidden="0" customWidth="1"/>
  </x:cols>
  <x:sheetData>
    <x:row r="1" ht="26" customHeight="1">
      <x:c r="A1" s="14" t="str">
        <x:v>Seaboard DCF Model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FCF component check</x:v>
      </x:c>
      <x:c r="B4" s="30" t="n">
        <x:f>'Forecast'!F12-('Forecast'!F8+'Forecast'!F9-'Forecast'!F10-'Forecast'!F11)</x:f>
        <x:v>0</x:v>
      </x:c>
      <x:c r="C4" s="30" t="n">
        <x:v>0</x:v>
      </x:c>
      <x:c r="D4" s="16" t="str">
        <x:f>IF(ABS(B4-C4)&lt;0.1,"PASS","CHECK")</x:f>
        <x:v>PASS</x:v>
      </x:c>
      <x:c r="E4" s="16" t="str">
        <x:v>UFCF must be formula-derived from NOPAT, D&amp;A, capex and NWC</x:v>
      </x:c>
    </x:row>
    <x:row r="5">
      <x:c r="A5" s="16" t="str">
        <x:v>Terminal spread</x:v>
      </x:c>
      <x:c r="B5" s="30" t="n">
        <x:f>'Assumptions'!$B$10-'Assumptions'!$B$11</x:f>
        <x:v>0.066</x:v>
      </x:c>
      <x:c r="C5" s="30" t="n">
        <x:v>0</x:v>
      </x:c>
      <x:c r="D5" s="16" t="str">
        <x:f>IF(B5&gt;0,"PASS","CHECK")</x:f>
        <x:v>PASS</x:v>
      </x:c>
      <x:c r="E5" s="16" t="str">
        <x:v>WACC must exceed terminal growth</x:v>
      </x:c>
    </x:row>
    <x:row r="6">
      <x:c r="A6" s="16" t="str">
        <x:v>Enterprise value formula</x:v>
      </x:c>
      <x:c r="B6" s="30" t="n">
        <x:f>'Valuation'!B9-('Valuation'!B5+'Valuation'!B8)</x:f>
        <x:v>0</x:v>
      </x:c>
      <x:c r="C6" s="30"/>
      <x:c r="D6" s="16" t="str">
        <x:f>IF(ABS(B6)&lt;0.1,"PASS","CHECK")</x:f>
        <x:v>PASS</x:v>
      </x:c>
      <x:c r="E6" s="16" t="str">
        <x:v>Forecast PV plus terminal PV</x:v>
      </x:c>
    </x:row>
    <x:row r="7">
      <x:c r="A7" s="16" t="str">
        <x:v>Equity bridge</x:v>
      </x:c>
      <x:c r="B7" s="30" t="n">
        <x:f>'Valuation'!B13-('Valuation'!B9-'Valuation'!B12)</x:f>
        <x:v>0</x:v>
      </x:c>
      <x:c r="C7" s="30"/>
      <x:c r="D7" s="16" t="str">
        <x:f>IF(ABS(B7)&lt;0.1,"PASS","CHECK")</x:f>
        <x:v>PASS</x:v>
      </x:c>
      <x:c r="E7" s="16" t="str">
        <x:v>EV less net debt</x:v>
      </x:c>
    </x:row>
    <x:row r="8">
      <x:c r="A8" s="16" t="str">
        <x:v>Source protection</x:v>
      </x:c>
      <x:c r="B8" s="16"/>
      <x:c r="C8" s="16"/>
      <x:c r="D8" s="16"/>
      <x:c r="E8" s="16" t="str">
        <x:v>Historical source values must not be edited</x:v>
      </x:c>
    </x:row>
  </x:sheetData>
  <x:mergeCells>
    <x:mergeCell ref="A1:E1"/>
  </x:mergeCells>
  <x:pageMargins left="0.7" right="0.7" top="0.75" bottom="0.75" header="0.3" footer="0.3"/>
</x:worksheet>
</file>