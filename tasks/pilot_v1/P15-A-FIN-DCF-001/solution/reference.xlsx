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8cec9fdba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06c1ac379b7b49fc"/>
    <x:sheet xmlns:r="http://schemas.openxmlformats.org/officeDocument/2006/relationships" name="Assumptions" sheetId="2" r:id="R6568c20641ab4a14"/>
    <x:sheet xmlns:r="http://schemas.openxmlformats.org/officeDocument/2006/relationships" name="Forecast" sheetId="3" r:id="Rc4456b4f3f0e4468"/>
    <x:sheet xmlns:r="http://schemas.openxmlformats.org/officeDocument/2006/relationships" name="Valuation" sheetId="4" r:id="R672c46edabe04727"/>
    <x:sheet xmlns:r="http://schemas.openxmlformats.org/officeDocument/2006/relationships" name="Checks" sheetId="5" r:id="R3e5bfdced05d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f532369e848c6" /><Relationship Type="http://schemas.openxmlformats.org/officeDocument/2006/relationships/theme" Target="/xl/theme/theme1.xml" Id="Rbdbb02090d484539" /><Relationship Type="http://schemas.openxmlformats.org/officeDocument/2006/relationships/sharedStrings" Target="/xl/sharedStrings.xml" Id="R0119abbd569646cb" /><Relationship Type="http://schemas.openxmlformats.org/officeDocument/2006/relationships/worksheet" Target="/xl/worksheets/sheet1.xml" Id="R06c1ac379b7b49fc" /><Relationship Type="http://schemas.openxmlformats.org/officeDocument/2006/relationships/worksheet" Target="/xl/worksheets/sheet2.xml" Id="R6568c20641ab4a14" /><Relationship Type="http://schemas.openxmlformats.org/officeDocument/2006/relationships/worksheet" Target="/xl/worksheets/sheet3.xml" Id="Rc4456b4f3f0e4468" /><Relationship Type="http://schemas.openxmlformats.org/officeDocument/2006/relationships/worksheet" Target="/xl/worksheets/sheet4.xml" Id="R672c46edabe04727" /><Relationship Type="http://schemas.openxmlformats.org/officeDocument/2006/relationships/worksheet" Target="/xl/worksheets/sheet5.xml" Id="R3e5bfdced05d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C5*(1+'Assumptions'!D4)</x:f>
        <x:v>459159.16252500005</x:v>
      </x:c>
      <x:c r="E5" s="30" t="n">
        <x:f>D5*(1+'Assumptions'!E4)</x:f>
        <x:v>479821.32483862503</x:v>
      </x:c>
      <x:c r="F5" s="30" t="n">
        <x:f>E5*(1+'Assumptions'!F4)</x:f>
        <x:v>499014.17783217004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146930.93200800003</x:v>
      </x:c>
      <x:c r="E6" s="30" t="n">
        <x:f>E5*'Assumptions'!E5</x:f>
        <x:v>154502.46659803725</x:v>
      </x:c>
      <x:c r="F6" s="30" t="n">
        <x:f>F5*'Assumptions'!F5</x:f>
        <x:v>161680.5936176231</x:v>
      </x:c>
    </x:row>
    <x:row r="7">
      <x:c r="A7" s="16" t="str">
        <x:v>Cash taxes</x:v>
      </x:c>
      <x:c r="B7" s="30" t="n">
        <x:f>B6*'Assumptions'!B6</x:f>
        <x:v>27418.983165</x:v>
      </x:c>
      <x:c r="C7" s="30" t="n">
        <x:f>C6*'Assumptions'!C6</x:f>
        <x:v>29110.690904085</x:v>
      </x:c>
      <x:c r="D7" s="30" t="n">
        <x:f>D6*'Assumptions'!D6</x:f>
        <x:v>30855.495721680007</x:v>
      </x:c>
      <x:c r="E7" s="30" t="n">
        <x:f>E6*'Assumptions'!E6</x:f>
        <x:v>32445.517985587823</x:v>
      </x:c>
      <x:c r="F7" s="30" t="n">
        <x:f>F6*'Assumptions'!F6</x:f>
        <x:v>33952.924659700846</x:v>
      </x:c>
    </x:row>
    <x:row r="8">
      <x:c r="A8" s="16" t="str">
        <x:v>NOPAT</x:v>
      </x:c>
      <x:c r="B8" s="30" t="n">
        <x:f>B6-B7</x:f>
        <x:v>103147.603335</x:v>
      </x:c>
      <x:c r="C8" s="30" t="n">
        <x:f>C6-C7</x:f>
        <x:v>109511.646734415</x:v>
      </x:c>
      <x:c r="D8" s="30" t="n">
        <x:f>D6-D7</x:f>
        <x:v>116075.43628632002</x:v>
      </x:c>
      <x:c r="E8" s="30" t="n">
        <x:f>E6-E7</x:f>
        <x:v>122056.94861244943</x:v>
      </x:c>
      <x:c r="F8" s="30" t="n">
        <x:f>F6-F7</x:f>
        <x:v>127727.66895792224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13315.615713225003</x:v>
      </x:c>
      <x:c r="E9" s="30" t="n">
        <x:f>E5*'Assumptions'!E7</x:f>
        <x:v>13914.818420320127</x:v>
      </x:c>
      <x:c r="F9" s="30" t="n">
        <x:f>F5*'Assumptions'!F7</x:f>
        <x:v>14471.411157132932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12397.297388175</x:v>
      </x:c>
      <x:c r="E10" s="30" t="n">
        <x:f>E5*'Assumptions'!E8</x:f>
        <x:v>12955.175770642876</x:v>
      </x:c>
      <x:c r="F10" s="30" t="n">
        <x:f>F5*'Assumptions'!F8</x:f>
        <x:v>13473.382801468591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5509.909950300001</x:v>
      </x:c>
      <x:c r="E11" s="30" t="n">
        <x:f>E5*'Assumptions'!E9</x:f>
        <x:v>5757.855898063501</x:v>
      </x:c>
      <x:c r="F11" s="30" t="n">
        <x:f>F5*'Assumptions'!F9</x:f>
        <x:v>5988.170133986041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111483.84466107003</x:v>
      </x:c>
      <x:c r="E12" s="30" t="n">
        <x:f>E8+E9-E10-E11</x:f>
        <x:v>117258.73536406319</x:v>
      </x:c>
      <x:c r="F12" s="30" t="n">
        <x:f>F8+F9-F10-F11</x:f>
        <x:v>122737.52717960054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0.9216589861751152</x:v>
      </x:c>
      <x:c r="C14" s="31" t="n">
        <x:f>1/(1+'Assumptions'!$B$10)^C13</x:f>
        <x:v>0.8494552867973413</x:v>
      </x:c>
      <x:c r="D14" s="31" t="n">
        <x:f>1/(1+'Assumptions'!$B$10)^D13</x:f>
        <x:v>0.7829080984307294</x:v>
      </x:c>
      <x:c r="E14" s="31" t="n">
        <x:f>1/(1+'Assumptions'!$B$10)^E13</x:f>
        <x:v>0.7215742842679533</x:v>
      </x:c>
      <x:c r="F14" s="31" t="n">
        <x:f>1/(1+'Assumptions'!$B$10)^F13</x:f>
        <x:v>0.6650454232884362</x:v>
      </x:c>
    </x:row>
    <x:row r="15">
      <x:c r="A15" s="16" t="str">
        <x:v>PV of UFCF</x:v>
      </x:c>
      <x:c r="B15" s="31" t="n">
        <x:f>B12*B14</x:f>
        <x:v>91246.66574654377</x:v>
      </x:c>
      <x:c r="C15" s="31" t="n">
        <x:f>C12*C14</x:f>
        <x:v>89310.62654073352</x:v>
      </x:c>
      <x:c r="D15" s="31" t="n">
        <x:f>D12*D14</x:f>
        <x:v>87281.60482934516</x:v>
      </x:c>
      <x:c r="E15" s="31" t="n">
        <x:f>E12*E14</x:f>
        <x:v>84610.88804448924</x:v>
      </x:c>
      <x:c r="F15" s="31" t="n">
        <x:f>F12*F14</x:f>
        <x:v>81626.03071653338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434075.81587764504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125805.96535909054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1963778.747132563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2130880.4296335205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2335115.8193569146</x:v>
      </x:c>
      <x:c r="G6" s="16"/>
    </x:row>
    <x:row r="7">
      <x:c r="A7" s="16" t="str">
        <x:v>Terminal value</x:v>
      </x:c>
      <x:c r="B7" s="30" t="n">
        <x:f>B6/('Assumptions'!$B$10-'Assumptions'!$B$11)</x:f>
        <x:v>2096766.0893181753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1647119.6055832459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1760663.5072850902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1894851.7547509065</x:v>
      </x:c>
      <x:c r="G7" s="16"/>
    </x:row>
    <x:row r="8">
      <x:c r="A8" s="16" t="str">
        <x:v>PV of terminal value</x:v>
      </x:c>
      <x:c r="B8" s="30" t="n">
        <x:f>B7*'Forecast'!F14</x:f>
        <x:v>1394444.691407445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1415025.0387026428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1496332.7232282418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1590149.2822962415</x:v>
      </x:c>
      <x:c r="G8" s="16"/>
    </x:row>
    <x:row r="9">
      <x:c r="A9" s="16" t="str">
        <x:v>Enterprise value</x:v>
      </x:c>
      <x:c r="B9" s="30" t="n">
        <x:f>B5+B8</x:f>
        <x:v>1828520.50728509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1760663.50728509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