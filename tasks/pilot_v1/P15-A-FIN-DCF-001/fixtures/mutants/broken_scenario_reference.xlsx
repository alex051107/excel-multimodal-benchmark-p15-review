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eadf55492c41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Data" sheetId="1" r:id="R586f9e21c3334f41"/>
    <x:sheet xmlns:r="http://schemas.openxmlformats.org/officeDocument/2006/relationships" name="Assumptions" sheetId="2" r:id="Rc5fb3f19a45240e1"/>
    <x:sheet xmlns:r="http://schemas.openxmlformats.org/officeDocument/2006/relationships" name="Forecast" sheetId="3" r:id="R6c6965d1c9934407"/>
    <x:sheet xmlns:r="http://schemas.openxmlformats.org/officeDocument/2006/relationships" name="Valuation" sheetId="4" r:id="Re3190a3e12f54d0d"/>
    <x:sheet xmlns:r="http://schemas.openxmlformats.org/officeDocument/2006/relationships" name="Checks" sheetId="5" r:id="Re9f1b46c64d447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#,##0.0"/>
    <x:numFmt numFmtId="203" formatCode="0.000x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/>
    <x:xf numFmtId="0" fontId="3" fillId="0" borderId="0" xfId="0" applyNumberFormat="1" applyFont="1" applyFill="1" applyBorder="1"/>
    <x:xf numFmtId="201" fontId="3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69d711a7f54a0e" /><Relationship Type="http://schemas.openxmlformats.org/officeDocument/2006/relationships/theme" Target="/xl/theme/theme1.xml" Id="Rcba1a757e30c43fb" /><Relationship Type="http://schemas.openxmlformats.org/officeDocument/2006/relationships/sharedStrings" Target="/xl/sharedStrings.xml" Id="R1b54647890644338" /><Relationship Type="http://schemas.openxmlformats.org/officeDocument/2006/relationships/worksheet" Target="/xl/worksheets/sheet1.xml" Id="R586f9e21c3334f41" /><Relationship Type="http://schemas.openxmlformats.org/officeDocument/2006/relationships/worksheet" Target="/xl/worksheets/sheet2.xml" Id="Rc5fb3f19a45240e1" /><Relationship Type="http://schemas.openxmlformats.org/officeDocument/2006/relationships/worksheet" Target="/xl/worksheets/sheet3.xml" Id="R6c6965d1c9934407" /><Relationship Type="http://schemas.openxmlformats.org/officeDocument/2006/relationships/worksheet" Target="/xl/worksheets/sheet4.xml" Id="Re3190a3e12f54d0d" /><Relationship Type="http://schemas.openxmlformats.org/officeDocument/2006/relationships/worksheet" Target="/xl/worksheets/sheet5.xml" Id="Re9f1b46c64d447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4" hidden="0" customWidth="1"/>
    <x:col min="5" max="5" width="45" hidden="0" customWidth="1"/>
    <x:col min="6" max="6" width="54" hidden="0" customWidth="1"/>
    <x:col min="7" max="7" width="34" hidden="0" customWidth="1"/>
  </x:cols>
  <x:sheetData>
    <x:row r="1" ht="26" customHeight="1">
      <x:c r="A1" s="14" t="str">
        <x:v>Northstar Components — Historical Financial Source Extract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0" t="str">
        <x:v>Metric ($m unless noted)</x:v>
      </x:c>
      <x:c r="B3" s="10" t="str">
        <x:v>FY2022A</x:v>
      </x:c>
      <x:c r="C3" s="10" t="str">
        <x:v>FY2023A</x:v>
      </x:c>
      <x:c r="D3" s="10" t="str">
        <x:v>FY2024A</x:v>
      </x:c>
      <x:c r="E3" s="10" t="str">
        <x:v>Source tag</x:v>
      </x:c>
      <x:c r="F3" s="10" t="str">
        <x:v>Source URL</x:v>
      </x:c>
      <x:c r="G3" s="10" t="str">
        <x:v>Note</x:v>
      </x:c>
    </x:row>
    <x:row r="4">
      <x:c r="A4" s="16" t="str">
        <x:v>Revenue</x:v>
      </x:c>
      <x:c r="B4" s="17" t="n">
        <x:v>394328</x:v>
      </x:c>
      <x:c r="C4" s="17" t="n">
        <x:v>383285</x:v>
      </x:c>
      <x:c r="D4" s="17" t="n">
        <x:v>391035</x:v>
      </x:c>
      <x:c r="E4" s="16" t="str">
        <x:v>us-gaap:RevenueFromContractWithCustomerExcludingAssessedTax</x:v>
      </x:c>
      <x:c r="F4" s="16" t="str">
        <x:v>https://data.sec.gov/api/xbrl/companyfacts/CIK0000320193.json</x:v>
      </x:c>
      <x:c r="G4" s="16" t="str">
        <x:v>Apple Inc. Company Facts; task uses values as historical input</x:v>
      </x:c>
    </x:row>
    <x:row r="5">
      <x:c r="A5" s="16" t="str">
        <x:v>Operating income</x:v>
      </x:c>
      <x:c r="B5" s="17" t="n">
        <x:v>119955</x:v>
      </x:c>
      <x:c r="C5" s="17" t="n">
        <x:v>114301</x:v>
      </x:c>
      <x:c r="D5" s="17" t="n">
        <x:v>123216</x:v>
      </x:c>
      <x:c r="E5" s="16" t="str">
        <x:v>us-gaap:OperatingIncomeLoss</x:v>
      </x:c>
      <x:c r="F5" s="16" t="str">
        <x:v>https://data.sec.gov/api/xbrl/companyfacts/CIK0000320193.json</x:v>
      </x:c>
      <x:c r="G5" s="16" t="str">
        <x:v>Historical margin anchor</x:v>
      </x:c>
    </x:row>
    <x:row r="6">
      <x:c r="A6" s="16" t="str">
        <x:v>D&amp;A</x:v>
      </x:c>
      <x:c r="B6" s="17" t="n">
        <x:v>11104</x:v>
      </x:c>
      <x:c r="C6" s="17" t="n">
        <x:v>11519</x:v>
      </x:c>
      <x:c r="D6" s="17" t="n">
        <x:v>11445</x:v>
      </x:c>
      <x:c r="E6" s="16" t="str">
        <x:v>us-gaap:DepreciationDepletionAndAmortization</x:v>
      </x:c>
      <x:c r="F6" s="16" t="str">
        <x:v>https://data.sec.gov/api/xbrl/companyfacts/CIK0000320193.json</x:v>
      </x:c>
      <x:c r="G6" s="16" t="str">
        <x:v>Cash-flow input</x:v>
      </x:c>
    </x:row>
    <x:row r="7">
      <x:c r="A7" s="16" t="str">
        <x:v>Capital expenditures</x:v>
      </x:c>
      <x:c r="B7" s="17" t="n">
        <x:v>10708</x:v>
      </x:c>
      <x:c r="C7" s="17" t="n">
        <x:v>10959</x:v>
      </x:c>
      <x:c r="D7" s="17" t="n">
        <x:v>9447</x:v>
      </x:c>
      <x:c r="E7" s="16" t="str">
        <x:v>us-gaap:PaymentsToAcquirePropertyPlantAndEquipment</x:v>
      </x:c>
      <x:c r="F7" s="16" t="str">
        <x:v>https://data.sec.gov/api/xbrl/companyfacts/CIK0000320193.json</x:v>
      </x:c>
      <x:c r="G7" s="16" t="str">
        <x:v>Cash-flow input</x:v>
      </x:c>
    </x:row>
    <x:row r="8">
      <x:c r="A8" s="16" t="str">
        <x:v>Cash</x:v>
      </x:c>
      <x:c r="B8" s="17" t="n">
        <x:v>23646</x:v>
      </x:c>
      <x:c r="C8" s="17" t="n">
        <x:v>29965</x:v>
      </x:c>
      <x:c r="D8" s="17" t="n">
        <x:v>29943</x:v>
      </x:c>
      <x:c r="E8" s="16" t="str">
        <x:v>us-gaap:CashAndCashEquivalentsAtCarryingValue</x:v>
      </x:c>
      <x:c r="F8" s="16" t="str">
        <x:v>https://data.sec.gov/api/xbrl/companyfacts/CIK0000320193.json</x:v>
      </x:c>
      <x:c r="G8" s="16" t="str">
        <x:v>Equity bridge input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42" hidden="0" customWidth="1"/>
  </x:cols>
  <x:sheetData>
    <x:row r="1" ht="26" customHeight="1">
      <x:c r="A1" s="14" t="str">
        <x:v>DCF Assumptions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0" t="str">
        <x:v>Assumption</x:v>
      </x:c>
      <x:c r="B3" s="10" t="str">
        <x:v>2025E</x:v>
      </x:c>
      <x:c r="C3" s="10" t="str">
        <x:v>2026E</x:v>
      </x:c>
      <x:c r="D3" s="10" t="str">
        <x:v>2027E</x:v>
      </x:c>
      <x:c r="E3" s="10" t="str">
        <x:v>2028E</x:v>
      </x:c>
      <x:c r="F3" s="10" t="str">
        <x:v>2029E</x:v>
      </x:c>
      <x:c r="G3" s="10" t="str">
        <x:v>Source / convention</x:v>
      </x:c>
    </x:row>
    <x:row r="4">
      <x:c r="A4" s="16" t="str">
        <x:v>Revenue growth</x:v>
      </x:c>
      <x:c r="B4" s="24" t="n">
        <x:v>0.06</x:v>
      </x:c>
      <x:c r="C4" s="24" t="n">
        <x:v>0.055</x:v>
      </x:c>
      <x:c r="D4" s="24" t="n">
        <x:v>0.05</x:v>
      </x:c>
      <x:c r="E4" s="24" t="n">
        <x:v>0.045</x:v>
      </x:c>
      <x:c r="F4" s="24" t="n">
        <x:v>0.04</x:v>
      </x:c>
      <x:c r="G4" s="16" t="str">
        <x:v>Benchmark-authored forecast case</x:v>
      </x:c>
    </x:row>
    <x:row r="5">
      <x:c r="A5" s="16" t="str">
        <x:v>EBIT margin</x:v>
      </x:c>
      <x:c r="B5" s="24" t="n">
        <x:v>0.315</x:v>
      </x:c>
      <x:c r="C5" s="24" t="n">
        <x:v>0.317</x:v>
      </x:c>
      <x:c r="D5" s="24" t="n">
        <x:v>0.32</x:v>
      </x:c>
      <x:c r="E5" s="24" t="n">
        <x:v>0.322</x:v>
      </x:c>
      <x:c r="F5" s="24" t="n">
        <x:v>0.324</x:v>
      </x:c>
      <x:c r="G5" s="16" t="str">
        <x:v>Held near FY2024 operating margin</x:v>
      </x:c>
    </x:row>
    <x:row r="6">
      <x:c r="A6" s="16" t="str">
        <x:v>Tax rate</x:v>
      </x:c>
      <x:c r="B6" s="24" t="n">
        <x:v>0.21</x:v>
      </x:c>
      <x:c r="C6" s="24" t="n">
        <x:v>0.21</x:v>
      </x:c>
      <x:c r="D6" s="24" t="n">
        <x:v>0.21</x:v>
      </x:c>
      <x:c r="E6" s="24" t="n">
        <x:v>0.21</x:v>
      </x:c>
      <x:c r="F6" s="24" t="n">
        <x:v>0.21</x:v>
      </x:c>
      <x:c r="G6" s="16" t="str">
        <x:v>Normalized statutory rate</x:v>
      </x:c>
    </x:row>
    <x:row r="7">
      <x:c r="A7" s="16" t="str">
        <x:v>D&amp;A as % revenue</x:v>
      </x:c>
      <x:c r="B7" s="24" t="n">
        <x:v>0.029</x:v>
      </x:c>
      <x:c r="C7" s="24" t="n">
        <x:v>0.029</x:v>
      </x:c>
      <x:c r="D7" s="24" t="n">
        <x:v>0.029</x:v>
      </x:c>
      <x:c r="E7" s="24" t="n">
        <x:v>0.029</x:v>
      </x:c>
      <x:c r="F7" s="24" t="n">
        <x:v>0.029</x:v>
      </x:c>
      <x:c r="G7" s="16" t="str">
        <x:v>Historical anchor</x:v>
      </x:c>
    </x:row>
    <x:row r="8">
      <x:c r="A8" s="16" t="str">
        <x:v>Capex as % revenue</x:v>
      </x:c>
      <x:c r="B8" s="24" t="n">
        <x:v>0.027</x:v>
      </x:c>
      <x:c r="C8" s="24" t="n">
        <x:v>0.027</x:v>
      </x:c>
      <x:c r="D8" s="24" t="n">
        <x:v>0.027</x:v>
      </x:c>
      <x:c r="E8" s="24" t="n">
        <x:v>0.027</x:v>
      </x:c>
      <x:c r="F8" s="24" t="n">
        <x:v>0.027</x:v>
      </x:c>
      <x:c r="G8" s="16" t="str">
        <x:v>Historical anchor</x:v>
      </x:c>
    </x:row>
    <x:row r="9">
      <x:c r="A9" s="16" t="str">
        <x:v>Change in NWC as % revenue</x:v>
      </x:c>
      <x:c r="B9" s="24" t="n">
        <x:v>0.012</x:v>
      </x:c>
      <x:c r="C9" s="24" t="n">
        <x:v>0.012</x:v>
      </x:c>
      <x:c r="D9" s="24" t="n">
        <x:v>0.012</x:v>
      </x:c>
      <x:c r="E9" s="24" t="n">
        <x:v>0.012</x:v>
      </x:c>
      <x:c r="F9" s="24" t="n">
        <x:v>0.012</x:v>
      </x:c>
      <x:c r="G9" s="16" t="str">
        <x:v>Planning convention</x:v>
      </x:c>
    </x:row>
    <x:row r="10">
      <x:c r="A10" s="16" t="str">
        <x:v>WACC</x:v>
      </x:c>
      <x:c r="B10" s="24" t="n">
        <x:v>0.085</x:v>
      </x:c>
      <x:c r="C10" s="24"/>
      <x:c r="D10" s="24"/>
      <x:c r="E10" s="24"/>
      <x:c r="F10" s="24"/>
      <x:c r="G10" s="16" t="str">
        <x:v>Applied to all forecast periods</x:v>
      </x:c>
    </x:row>
    <x:row r="11">
      <x:c r="A11" s="16" t="str">
        <x:v>Terminal growth</x:v>
      </x:c>
      <x:c r="B11" s="24" t="n">
        <x:v>0.025</x:v>
      </x:c>
      <x:c r="C11" s="25"/>
      <x:c r="D11" s="25"/>
      <x:c r="E11" s="25"/>
      <x:c r="F11" s="25"/>
      <x:c r="G11" s="16" t="str">
        <x:v>Gordon growth convention</x:v>
      </x:c>
    </x:row>
    <x:row r="12">
      <x:c r="A12" s="15"/>
      <x:c r="B12" s="26"/>
      <x:c r="C12" s="27"/>
      <x:c r="D12" s="27"/>
      <x:c r="E12" s="27"/>
      <x:c r="F12" s="27"/>
      <x:c r="G12" s="15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6" customHeight="1">
      <x:c r="A1" s="14" t="str">
        <x:v>DCF Forecast and Unlevered Free Cash Flow</x:v>
      </x:c>
      <x:c r="B1" s="14"/>
      <x:c r="C1" s="14"/>
      <x:c r="D1" s="14"/>
      <x:c r="E1" s="14"/>
      <x:c r="F1" s="14"/>
      <x:c r="G1" s="4"/>
    </x:row>
    <x:row r="2">
      <x:c r="A2" s="15"/>
      <x:c r="B2" s="15"/>
      <x:c r="C2" s="15"/>
      <x:c r="D2" s="15"/>
      <x:c r="E2" s="15"/>
      <x:c r="F2" s="15"/>
    </x:row>
    <x:row r="3">
      <x:c r="A3" s="15"/>
      <x:c r="B3" s="15"/>
      <x:c r="C3" s="15"/>
      <x:c r="D3" s="15"/>
      <x:c r="E3" s="15"/>
      <x:c r="F3" s="15"/>
    </x:row>
    <x:row r="4">
      <x:c r="A4" s="10" t="str">
        <x:v>Metric ($m unless noted)</x:v>
      </x:c>
      <x:c r="B4" s="10" t="str">
        <x:v>2025E</x:v>
      </x:c>
      <x:c r="C4" s="10" t="str">
        <x:v>2026E</x:v>
      </x:c>
      <x:c r="D4" s="10" t="str">
        <x:v>2027E</x:v>
      </x:c>
      <x:c r="E4" s="10" t="str">
        <x:v>2028E</x:v>
      </x:c>
      <x:c r="F4" s="10" t="str">
        <x:v>2029E</x:v>
      </x:c>
    </x:row>
    <x:row r="5">
      <x:c r="A5" s="16" t="str">
        <x:v>Revenue</x:v>
      </x:c>
      <x:c r="B5" s="30" t="n">
        <x:f>'Source_Data'!D4*(1+'Assumptions'!B4)</x:f>
        <x:v>414497.10000000003</x:v>
      </x:c>
      <x:c r="C5" s="30" t="n">
        <x:f>B5*(1+'Assumptions'!C4)</x:f>
        <x:v>437294.4405</x:v>
      </x:c>
      <x:c r="D5" s="30" t="n">
        <x:f>C5*(1+'Assumptions'!D5)</x:f>
        <x:v>577228.6614600001</x:v>
      </x:c>
      <x:c r="E5" s="30" t="n">
        <x:f>D5*(1+'Assumptions'!E4)</x:f>
        <x:v>603203.9512257001</x:v>
      </x:c>
      <x:c r="F5" s="30" t="n">
        <x:f>E5*(1+'Assumptions'!F4)</x:f>
        <x:v>627332.1092747281</x:v>
      </x:c>
    </x:row>
    <x:row r="6">
      <x:c r="A6" s="16" t="str">
        <x:v>EBIT</x:v>
      </x:c>
      <x:c r="B6" s="30" t="n">
        <x:f>B5*'Assumptions'!B5</x:f>
        <x:v>130566.5865</x:v>
      </x:c>
      <x:c r="C6" s="30" t="n">
        <x:f>C5*'Assumptions'!C5</x:f>
        <x:v>138622.3376385</x:v>
      </x:c>
      <x:c r="D6" s="30" t="n">
        <x:f>D5*'Assumptions'!D5</x:f>
        <x:v>184713.17166720002</x:v>
      </x:c>
      <x:c r="E6" s="30" t="n">
        <x:f>E5*'Assumptions'!E5</x:f>
        <x:v>194231.67229467543</x:v>
      </x:c>
      <x:c r="F6" s="30" t="n">
        <x:f>F5*'Assumptions'!F5</x:f>
        <x:v>203255.6034050119</x:v>
      </x:c>
    </x:row>
    <x:row r="7">
      <x:c r="A7" s="16" t="str">
        <x:v>Cash taxes</x:v>
      </x:c>
      <x:c r="B7" s="30" t="n">
        <x:f>B6*'Assumptions'!B6</x:f>
        <x:v>27418.983165</x:v>
      </x:c>
      <x:c r="C7" s="30" t="n">
        <x:f>C6*'Assumptions'!C6</x:f>
        <x:v>29110.690904085</x:v>
      </x:c>
      <x:c r="D7" s="30" t="n">
        <x:f>D6*'Assumptions'!D6</x:f>
        <x:v>38789.766050112004</x:v>
      </x:c>
      <x:c r="E7" s="30" t="n">
        <x:f>E6*'Assumptions'!E6</x:f>
        <x:v>40788.65118188184</x:v>
      </x:c>
      <x:c r="F7" s="30" t="n">
        <x:f>F6*'Assumptions'!F6</x:f>
        <x:v>42683.6767150525</x:v>
      </x:c>
    </x:row>
    <x:row r="8">
      <x:c r="A8" s="16" t="str">
        <x:v>NOPAT</x:v>
      </x:c>
      <x:c r="B8" s="30" t="n">
        <x:f>B6-B7</x:f>
        <x:v>103147.603335</x:v>
      </x:c>
      <x:c r="C8" s="30" t="n">
        <x:f>C6-C7</x:f>
        <x:v>109511.646734415</x:v>
      </x:c>
      <x:c r="D8" s="30" t="n">
        <x:f>D6-D7</x:f>
        <x:v>145923.40561708802</x:v>
      </x:c>
      <x:c r="E8" s="30" t="n">
        <x:f>E6-E7</x:f>
        <x:v>153443.0211127936</x:v>
      </x:c>
      <x:c r="F8" s="30" t="n">
        <x:f>F6-F7</x:f>
        <x:v>160571.92668995942</x:v>
      </x:c>
    </x:row>
    <x:row r="9">
      <x:c r="A9" s="16" t="str">
        <x:v>D&amp;A</x:v>
      </x:c>
      <x:c r="B9" s="30" t="n">
        <x:f>B5*'Assumptions'!B7</x:f>
        <x:v>12020.415900000002</x:v>
      </x:c>
      <x:c r="C9" s="30" t="n">
        <x:f>C5*'Assumptions'!C7</x:f>
        <x:v>12681.5387745</x:v>
      </x:c>
      <x:c r="D9" s="30" t="n">
        <x:f>D5*'Assumptions'!D7</x:f>
        <x:v>16739.631182340003</x:v>
      </x:c>
      <x:c r="E9" s="30" t="n">
        <x:f>E5*'Assumptions'!E7</x:f>
        <x:v>17492.914585545303</x:v>
      </x:c>
      <x:c r="F9" s="30" t="n">
        <x:f>F5*'Assumptions'!F7</x:f>
        <x:v>18192.631168967117</x:v>
      </x:c>
    </x:row>
    <x:row r="10">
      <x:c r="A10" s="16" t="str">
        <x:v>Capital expenditures</x:v>
      </x:c>
      <x:c r="B10" s="30" t="n">
        <x:f>B5*'Assumptions'!B8</x:f>
        <x:v>11191.4217</x:v>
      </x:c>
      <x:c r="C10" s="30" t="n">
        <x:f>C5*'Assumptions'!C8</x:f>
        <x:v>11806.949893500001</x:v>
      </x:c>
      <x:c r="D10" s="30" t="n">
        <x:f>D5*'Assumptions'!D8</x:f>
        <x:v>15585.173859420001</x:v>
      </x:c>
      <x:c r="E10" s="30" t="n">
        <x:f>E5*'Assumptions'!E8</x:f>
        <x:v>16286.506683093903</x:v>
      </x:c>
      <x:c r="F10" s="30" t="n">
        <x:f>F5*'Assumptions'!F8</x:f>
        <x:v>16937.96695041766</x:v>
      </x:c>
    </x:row>
    <x:row r="11">
      <x:c r="A11" s="16" t="str">
        <x:v>Change in NWC</x:v>
      </x:c>
      <x:c r="B11" s="30" t="n">
        <x:f>B5*'Assumptions'!B9</x:f>
        <x:v>4973.965200000001</x:v>
      </x:c>
      <x:c r="C11" s="30" t="n">
        <x:f>C5*'Assumptions'!C9</x:f>
        <x:v>5247.533286000001</x:v>
      </x:c>
      <x:c r="D11" s="30" t="n">
        <x:f>D5*'Assumptions'!D9</x:f>
        <x:v>6926.743937520001</x:v>
      </x:c>
      <x:c r="E11" s="30" t="n">
        <x:f>E5*'Assumptions'!E9</x:f>
        <x:v>7238.447414708401</x:v>
      </x:c>
      <x:c r="F11" s="30" t="n">
        <x:f>F5*'Assumptions'!F9</x:f>
        <x:v>7527.985311296738</x:v>
      </x:c>
    </x:row>
    <x:row r="12">
      <x:c r="A12" s="16" t="str">
        <x:v>Unlevered FCF</x:v>
      </x:c>
      <x:c r="B12" s="30" t="n">
        <x:f>B8+B9-B10-B11</x:f>
        <x:v>99002.632335</x:v>
      </x:c>
      <x:c r="C12" s="30" t="n">
        <x:f>C8+C9-C10-C11</x:f>
        <x:v>105138.702329415</x:v>
      </x:c>
      <x:c r="D12" s="30" t="n">
        <x:f>D8+D9-D10-D11</x:f>
        <x:v>140151.11900248803</x:v>
      </x:c>
      <x:c r="E12" s="30" t="n">
        <x:f>E8+E9-E10-E11</x:f>
        <x:v>147410.9816005366</x:v>
      </x:c>
      <x:c r="F12" s="30" t="n">
        <x:f>F8+F9-F10-F11</x:f>
        <x:v>154298.60559721212</x:v>
      </x:c>
    </x:row>
    <x:row r="13">
      <x:c r="A13" s="16" t="str">
        <x:v>Discount period</x:v>
      </x:c>
      <x:c r="B13" s="16" t="n">
        <x:v>1</x:v>
      </x:c>
      <x:c r="C13" s="16" t="n">
        <x:v>2</x:v>
      </x:c>
      <x:c r="D13" s="16" t="n">
        <x:v>3</x:v>
      </x:c>
      <x:c r="E13" s="16" t="n">
        <x:v>4</x:v>
      </x:c>
      <x:c r="F13" s="16" t="n">
        <x:v>5</x:v>
      </x:c>
    </x:row>
    <x:row r="14">
      <x:c r="A14" s="16" t="str">
        <x:v>Discount factor</x:v>
      </x:c>
      <x:c r="B14" s="31" t="n">
        <x:f>1/(1+'Assumptions'!$B$10)^B13</x:f>
        <x:v>0.9216589861751152</x:v>
      </x:c>
      <x:c r="C14" s="31" t="n">
        <x:f>1/(1+'Assumptions'!$B$10)^C13</x:f>
        <x:v>0.8494552867973413</x:v>
      </x:c>
      <x:c r="D14" s="31" t="n">
        <x:f>1/(1+'Assumptions'!$B$10)^D13</x:f>
        <x:v>0.7829080984307294</x:v>
      </x:c>
      <x:c r="E14" s="31" t="n">
        <x:f>1/(1+'Assumptions'!$B$10)^E13</x:f>
        <x:v>0.7215742842679533</x:v>
      </x:c>
      <x:c r="F14" s="31" t="n">
        <x:f>1/(1+'Assumptions'!$B$10)^F13</x:f>
        <x:v>0.6650454232884362</x:v>
      </x:c>
    </x:row>
    <x:row r="15">
      <x:c r="A15" s="16" t="str">
        <x:v>PV of UFCF</x:v>
      </x:c>
      <x:c r="B15" s="31" t="n">
        <x:f>B12*B14</x:f>
        <x:v>91246.66574654377</x:v>
      </x:c>
      <x:c r="C15" s="31" t="n">
        <x:f>C12*C14</x:f>
        <x:v>89310.62654073352</x:v>
      </x:c>
      <x:c r="D15" s="31" t="n">
        <x:f>D12*D14</x:f>
        <x:v>109725.44607117678</x:v>
      </x:c>
      <x:c r="E15" s="31" t="n">
        <x:f>E12*E14</x:f>
        <x:v>106367.97354164363</x:v>
      </x:c>
      <x:c r="F15" s="31" t="n">
        <x:f>F12*F14</x:f>
        <x:v>102615.58147221341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4" hidden="0" customWidth="1"/>
  </x:cols>
  <x:sheetData>
    <x:row r="1" ht="26" customHeight="1">
      <x:c r="A1" s="14" t="str">
        <x:v>Enterprise and Equity Value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5"/>
      <x:c r="B3" s="15"/>
      <x:c r="C3" s="15"/>
      <x:c r="D3" s="15"/>
      <x:c r="E3" s="15"/>
      <x:c r="F3" s="15"/>
      <x:c r="G3" s="15"/>
    </x:row>
    <x:row r="4">
      <x:c r="A4" s="10" t="str">
        <x:v>Valuation bridge ($m)</x:v>
      </x:c>
      <x:c r="B4" s="10" t="str">
        <x:v>Value</x:v>
      </x:c>
      <x:c r="C4" s="10" t="str">
        <x:v>Sensitivity / supporting values</x:v>
      </x:c>
      <x:c r="D4" s="10"/>
      <x:c r="E4" s="10"/>
      <x:c r="F4" s="10"/>
      <x:c r="G4" s="10"/>
    </x:row>
    <x:row r="5">
      <x:c r="A5" s="16" t="str">
        <x:v>PV of forecast UFCF</x:v>
      </x:c>
      <x:c r="B5" s="30" t="n">
        <x:f>SUM('Forecast'!B15:F15)</x:f>
        <x:v>499266.29337231116</x:v>
      </x:c>
      <x:c r="C5" s="16" t="str">
        <x:v>Terminal growth</x:v>
      </x:c>
      <x:c r="D5" s="32" t="n">
        <x:v>0.02</x:v>
      </x:c>
      <x:c r="E5" s="32" t="n">
        <x:v>0.025</x:v>
      </x:c>
      <x:c r="F5" s="32" t="n">
        <x:v>0.03</x:v>
      </x:c>
      <x:c r="G5" s="16" t="str">
        <x:v>WACC</x:v>
      </x:c>
    </x:row>
    <x:row r="6">
      <x:c r="A6" s="16" t="str">
        <x:v>Terminal FCF</x:v>
      </x:c>
      <x:c r="B6" s="30" t="n">
        <x:f>'Forecast'!F12*(1+'Assumptions'!$B$11)</x:f>
        <x:v>158156.0707371424</x:v>
      </x:c>
      <x:c r="C6" s="32" t="n">
        <x:v>0.075</x:v>
      </x:c>
      <x:c r="D6" s="30" t="n">
        <x:f>SUM('Forecast'!$B$12/(1+$C6)^'Forecast'!$B$13,'Forecast'!$C$12/(1+$C6)^'Forecast'!$C$13,'Forecast'!$D$12/(1+$C6)^'Forecast'!$D$13,'Forecast'!$E$12/(1+$C6)^'Forecast'!$E$13,'Forecast'!$F$12/(1+$C6)^'Forecast'!$F$13)+('Forecast'!$F$12*(1+D$5)/($C6-D$5))/(1+$C6)^'Forecast'!$F$13-'Valuation'!$B$12</x:f>
        <x:v>2439122.831285288</x:v>
      </x:c>
      <x:c r="E6" s="30" t="n">
        <x:f>SUM('Forecast'!$B$12/(1+$C6)^'Forecast'!$B$13,'Forecast'!$C$12/(1+$C6)^'Forecast'!$C$13,'Forecast'!$D$12/(1+$C6)^'Forecast'!$D$13,'Forecast'!$E$12/(1+$C6)^'Forecast'!$E$13,'Forecast'!$F$12/(1+$C6)^'Forecast'!$F$13)+('Forecast'!$F$12*(1+E$5)/($C6-E$5))/(1+$C6)^'Forecast'!$F$13-'Valuation'!$B$12</x:f>
        <x:v>2649193.517857921</x:v>
      </x:c>
      <x:c r="F6" s="30" t="n">
        <x:f>SUM('Forecast'!$B$12/(1+$C6)^'Forecast'!$B$13,'Forecast'!$C$12/(1+$C6)^'Forecast'!$C$13,'Forecast'!$D$12/(1+$C6)^'Forecast'!$D$13,'Forecast'!$E$12/(1+$C6)^'Forecast'!$E$13,'Forecast'!$F$12/(1+$C6)^'Forecast'!$F$13)+('Forecast'!$F$12*(1+F$5)/($C6-F$5))/(1+$C6)^'Forecast'!$F$13-'Valuation'!$B$12</x:f>
        <x:v>2905946.5792244733</x:v>
      </x:c>
      <x:c r="G6" s="16"/>
    </x:row>
    <x:row r="7">
      <x:c r="A7" s="16" t="str">
        <x:v>Terminal value</x:v>
      </x:c>
      <x:c r="B7" s="30" t="n">
        <x:f>B6/('Assumptions'!$B$10-'Assumptions'!$B$11)</x:f>
        <x:v>2635934.5122857066</x:v>
      </x:c>
      <x:c r="C7" s="32" t="n">
        <x:v>0.085</x:v>
      </x:c>
      <x:c r="D7" s="30" t="n">
        <x:f>SUM('Forecast'!$B$12/(1+$C7)^'Forecast'!$B$13,'Forecast'!$C$12/(1+$C7)^'Forecast'!$C$13,'Forecast'!$D$12/(1+$C7)^'Forecast'!$D$13,'Forecast'!$E$12/(1+$C7)^'Forecast'!$E$13,'Forecast'!$F$12/(1+$C7)^'Forecast'!$F$13)+('Forecast'!$F$12*(1+D$5)/($C7-D$5))/(1+$C7)^'Forecast'!$F$13-'Valuation'!$B$12</x:f>
        <x:v>2041684.5718593523</x:v>
      </x:c>
      <x:c r="E7" s="30" t="n">
        <x:f>SUM('Forecast'!$B$12/(1+$C7)^'Forecast'!$B$13,'Forecast'!$C$12/(1+$C7)^'Forecast'!$C$13,'Forecast'!$D$12/(1+$C7)^'Forecast'!$D$13,'Forecast'!$E$12/(1+$C7)^'Forecast'!$E$13,'Forecast'!$F$12/(1+$C7)^'Forecast'!$F$13)+('Forecast'!$F$12*(1+E$5)/($C7-E$5))/(1+$C7)^'Forecast'!$F$13-'Valuation'!$B$12</x:f>
        <x:v>2184425.4768559565</x:v>
      </x:c>
      <x:c r="F7" s="30" t="n">
        <x:f>SUM('Forecast'!$B$12/(1+$C7)^'Forecast'!$B$13,'Forecast'!$C$12/(1+$C7)^'Forecast'!$C$13,'Forecast'!$D$12/(1+$C7)^'Forecast'!$D$13,'Forecast'!$E$12/(1+$C7)^'Forecast'!$E$13,'Forecast'!$F$12/(1+$C7)^'Forecast'!$F$13)+('Forecast'!$F$12*(1+F$5)/($C7-F$5))/(1+$C7)^'Forecast'!$F$13-'Valuation'!$B$12</x:f>
        <x:v>2353119.2736701258</x:v>
      </x:c>
      <x:c r="G7" s="16"/>
    </x:row>
    <x:row r="8">
      <x:c r="A8" s="16" t="str">
        <x:v>PV of terminal value</x:v>
      </x:c>
      <x:c r="B8" s="30" t="n">
        <x:f>B7*'Forecast'!F14</x:f>
        <x:v>1753016.1834836453</x:v>
      </x:c>
      <x:c r="C8" s="32" t="n">
        <x:v>0.095</x:v>
      </x:c>
      <x:c r="D8" s="30" t="n">
        <x:f>SUM('Forecast'!$B$12/(1+$C8)^'Forecast'!$B$13,'Forecast'!$C$12/(1+$C8)^'Forecast'!$C$13,'Forecast'!$D$12/(1+$C8)^'Forecast'!$D$13,'Forecast'!$E$12/(1+$C8)^'Forecast'!$E$13,'Forecast'!$F$12/(1+$C8)^'Forecast'!$F$13)+('Forecast'!$F$12*(1+D$5)/($C8-D$5))/(1+$C8)^'Forecast'!$F$13-'Valuation'!$B$12</x:f>
        <x:v>1750540.3702779468</x:v>
      </x:c>
      <x:c r="E8" s="30" t="n">
        <x:f>SUM('Forecast'!$B$12/(1+$C8)^'Forecast'!$B$13,'Forecast'!$C$12/(1+$C8)^'Forecast'!$C$13,'Forecast'!$D$12/(1+$C8)^'Forecast'!$D$13,'Forecast'!$E$12/(1+$C8)^'Forecast'!$E$13,'Forecast'!$F$12/(1+$C8)^'Forecast'!$F$13)+('Forecast'!$F$12*(1+E$5)/($C8-E$5))/(1+$C8)^'Forecast'!$F$13-'Valuation'!$B$12</x:f>
        <x:v>1852755.7451101285</x:v>
      </x:c>
      <x:c r="F8" s="30" t="n">
        <x:f>SUM('Forecast'!$B$12/(1+$C8)^'Forecast'!$B$13,'Forecast'!$C$12/(1+$C8)^'Forecast'!$C$13,'Forecast'!$D$12/(1+$C8)^'Forecast'!$D$13,'Forecast'!$E$12/(1+$C8)^'Forecast'!$E$13,'Forecast'!$F$12/(1+$C8)^'Forecast'!$F$13)+('Forecast'!$F$12*(1+F$5)/($C8-F$5))/(1+$C8)^'Forecast'!$F$13-'Valuation'!$B$12</x:f>
        <x:v>1970696.5622241856</x:v>
      </x:c>
      <x:c r="G8" s="16"/>
    </x:row>
    <x:row r="9">
      <x:c r="A9" s="16" t="str">
        <x:v>Enterprise value</x:v>
      </x:c>
      <x:c r="B9" s="30" t="n">
        <x:f>B5+B8</x:f>
        <x:v>2252282.4768559565</x:v>
      </x:c>
      <x:c r="C9" s="16"/>
      <x:c r="D9" s="16"/>
      <x:c r="E9" s="16"/>
      <x:c r="F9" s="16"/>
      <x:c r="G9" s="16"/>
    </x:row>
    <x:row r="10">
      <x:c r="A10" s="16" t="str">
        <x:v>Cash</x:v>
      </x:c>
      <x:c r="B10" s="30" t="n">
        <x:f>'Source_Data'!D8</x:f>
        <x:v>29943</x:v>
      </x:c>
      <x:c r="C10" s="16"/>
      <x:c r="D10" s="16"/>
      <x:c r="E10" s="16"/>
      <x:c r="F10" s="16"/>
      <x:c r="G10" s="16"/>
    </x:row>
    <x:row r="11">
      <x:c r="A11" s="16" t="str">
        <x:v>Debt (assumption)</x:v>
      </x:c>
      <x:c r="B11" s="30" t="n">
        <x:v>97800</x:v>
      </x:c>
      <x:c r="C11" s="16"/>
      <x:c r="D11" s="16"/>
      <x:c r="E11" s="16"/>
      <x:c r="F11" s="16"/>
      <x:c r="G11" s="16"/>
    </x:row>
    <x:row r="12">
      <x:c r="A12" s="16" t="str">
        <x:v>Net debt</x:v>
      </x:c>
      <x:c r="B12" s="30" t="n">
        <x:f>B11-B10</x:f>
        <x:v>67857</x:v>
      </x:c>
      <x:c r="C12" s="16"/>
      <x:c r="D12" s="16"/>
      <x:c r="E12" s="16"/>
      <x:c r="F12" s="16"/>
      <x:c r="G12" s="16"/>
    </x:row>
    <x:row r="13">
      <x:c r="A13" s="16" t="str">
        <x:v>Equity value</x:v>
      </x:c>
      <x:c r="B13" s="30" t="n">
        <x:f>B9-B12</x:f>
        <x:v>2184425.4768559565</x:v>
      </x:c>
      <x:c r="C13" s="16"/>
      <x:c r="D13" s="16"/>
      <x:c r="E13" s="16"/>
      <x:c r="F13" s="16"/>
      <x:c r="G13" s="16"/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4" hidden="0" customWidth="1"/>
    <x:col min="5" max="5" width="50" hidden="0" customWidth="1"/>
  </x:cols>
  <x:sheetData>
    <x:row r="1" ht="26" customHeight="1">
      <x:c r="A1" s="14" t="str">
        <x:v>DCF Model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FCF component check</x:v>
      </x:c>
      <x:c r="B4" s="30" t="n">
        <x:f>'Forecast'!F12-('Forecast'!F8+'Forecast'!F9-'Forecast'!F10-'Forecast'!F11)</x:f>
        <x:v>0</x:v>
      </x:c>
      <x:c r="C4" s="30" t="n">
        <x:v>0</x:v>
      </x:c>
      <x:c r="D4" s="16" t="str">
        <x:f>IF(ABS(B4-C4)&lt;0.1,"PASS","CHECK")</x:f>
        <x:v>PASS</x:v>
      </x:c>
      <x:c r="E4" s="16" t="str">
        <x:v>UFCF must be formula-derived from NOPAT, D&amp;A, capex and NWC</x:v>
      </x:c>
    </x:row>
    <x:row r="5">
      <x:c r="A5" s="16" t="str">
        <x:v>Terminal spread</x:v>
      </x:c>
      <x:c r="B5" s="30" t="n">
        <x:f>'Assumptions'!$B$10-'Assumptions'!$B$11</x:f>
        <x:v>0.060000000000000005</x:v>
      </x:c>
      <x:c r="C5" s="30" t="n">
        <x:v>0</x:v>
      </x:c>
      <x:c r="D5" s="16" t="str">
        <x:f>IF(B5&gt;0,"PASS","CHECK")</x:f>
        <x:v>PASS</x:v>
      </x:c>
      <x:c r="E5" s="16" t="str">
        <x:v>WACC must exceed terminal growth</x:v>
      </x:c>
    </x:row>
    <x:row r="6">
      <x:c r="A6" s="16" t="str">
        <x:v>Enterprise value formula</x:v>
      </x:c>
      <x:c r="B6" s="30" t="n">
        <x:f>'Valuation'!B9-('Valuation'!B5+'Valuation'!B8)</x:f>
        <x:v>0</x:v>
      </x:c>
      <x:c r="C6" s="30"/>
      <x:c r="D6" s="16" t="str">
        <x:f>IF(ABS(B6)&lt;0.1,"PASS","CHECK")</x:f>
        <x:v>PASS</x:v>
      </x:c>
      <x:c r="E6" s="16" t="str">
        <x:v>Forecast PV plus terminal PV</x:v>
      </x:c>
    </x:row>
    <x:row r="7">
      <x:c r="A7" s="16" t="str">
        <x:v>Equity bridge</x:v>
      </x:c>
      <x:c r="B7" s="30" t="n">
        <x:f>'Valuation'!B13-('Valuation'!B9-'Valuation'!B12)</x:f>
        <x:v>0</x:v>
      </x:c>
      <x:c r="C7" s="30"/>
      <x:c r="D7" s="16" t="str">
        <x:f>IF(ABS(B7)&lt;0.1,"PASS","CHECK")</x:f>
        <x:v>PASS</x:v>
      </x:c>
      <x:c r="E7" s="16" t="str">
        <x:v>EV less net debt</x:v>
      </x:c>
    </x:row>
    <x:row r="8">
      <x:c r="A8" s="16" t="str">
        <x:v>Source protection</x:v>
      </x:c>
      <x:c r="B8" s="16"/>
      <x:c r="C8" s="16"/>
      <x:c r="D8" s="16"/>
      <x:c r="E8" s="16" t="str">
        <x:v>Historical source values must not be edited</x:v>
      </x:c>
    </x:row>
  </x:sheetData>
  <x:mergeCells>
    <x:mergeCell ref="A1:E1"/>
  </x:mergeCells>
  <x:pageMargins left="0.7" right="0.7" top="0.75" bottom="0.75" header="0.3" footer="0.3"/>
</x:worksheet>
</file>