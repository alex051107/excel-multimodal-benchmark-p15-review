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urce_Data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heck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x"/>
  </numFmts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  <font>
      <name val="Carlito"/>
      <color rgb="FF0000FF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4" fontId="0" fillId="0" borderId="0" pivotButton="0" quotePrefix="0" xfId="0"/>
    <xf numFmtId="16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3" fillId="0" borderId="0" pivotButton="0" quotePrefix="0" xfId="0"/>
    <xf numFmtId="0" fontId="3" fillId="0" borderId="0" pivotButton="0" quotePrefix="0" xfId="0"/>
    <xf numFmtId="164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164" fontId="3" fillId="0" borderId="0" applyAlignment="1" pivotButton="0" quotePrefix="0" xfId="0">
      <alignment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4" customWidth="1" min="4" max="4"/>
    <col width="45" customWidth="1" min="5" max="5"/>
    <col width="54" customWidth="1" min="6" max="6"/>
    <col width="34" customWidth="1" min="7" max="7"/>
  </cols>
  <sheetData>
    <row r="1" ht="26" customHeight="1">
      <c r="A1" s="14" t="inlineStr">
        <is>
          <t>Northstar Components — Historical Financial Source Extract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10" t="inlineStr">
        <is>
          <t>Metric ($m unless noted)</t>
        </is>
      </c>
      <c r="B3" s="10" t="inlineStr">
        <is>
          <t>FY2022A</t>
        </is>
      </c>
      <c r="C3" s="10" t="inlineStr">
        <is>
          <t>FY2023A</t>
        </is>
      </c>
      <c r="D3" s="10" t="inlineStr">
        <is>
          <t>FY2024A</t>
        </is>
      </c>
      <c r="E3" s="10" t="inlineStr">
        <is>
          <t>Source tag</t>
        </is>
      </c>
      <c r="F3" s="10" t="inlineStr">
        <is>
          <t>Source URL</t>
        </is>
      </c>
      <c r="G3" s="10" t="inlineStr">
        <is>
          <t>Note</t>
        </is>
      </c>
    </row>
    <row r="4">
      <c r="A4" s="16" t="inlineStr">
        <is>
          <t>Revenue</t>
        </is>
      </c>
      <c r="B4" s="33" t="n">
        <v>394328</v>
      </c>
      <c r="C4" s="33" t="n">
        <v>383285</v>
      </c>
      <c r="D4" s="33" t="n">
        <v>391035</v>
      </c>
      <c r="E4" s="16" t="inlineStr">
        <is>
          <t>us-gaap:RevenueFromContractWithCustomerExcludingAssessedTax</t>
        </is>
      </c>
      <c r="F4" s="16" t="inlineStr">
        <is>
          <t>https://data.sec.gov/api/xbrl/companyfacts/CIK0000320193.json</t>
        </is>
      </c>
      <c r="G4" s="16" t="inlineStr">
        <is>
          <t>Apple Inc. Company Facts; task uses values as historical input</t>
        </is>
      </c>
    </row>
    <row r="5">
      <c r="A5" s="16" t="inlineStr">
        <is>
          <t>Operating income</t>
        </is>
      </c>
      <c r="B5" s="33" t="n">
        <v>119955</v>
      </c>
      <c r="C5" s="33" t="n">
        <v>114301</v>
      </c>
      <c r="D5" s="33" t="n">
        <v>123216</v>
      </c>
      <c r="E5" s="16" t="inlineStr">
        <is>
          <t>us-gaap:OperatingIncomeLoss</t>
        </is>
      </c>
      <c r="F5" s="16" t="inlineStr">
        <is>
          <t>https://data.sec.gov/api/xbrl/companyfacts/CIK0000320193.json</t>
        </is>
      </c>
      <c r="G5" s="16" t="inlineStr">
        <is>
          <t>Historical margin anchor</t>
        </is>
      </c>
    </row>
    <row r="6">
      <c r="A6" s="16" t="inlineStr">
        <is>
          <t>D&amp;A</t>
        </is>
      </c>
      <c r="B6" s="33" t="n">
        <v>11104</v>
      </c>
      <c r="C6" s="33" t="n">
        <v>11519</v>
      </c>
      <c r="D6" s="33" t="n">
        <v>11445</v>
      </c>
      <c r="E6" s="16" t="inlineStr">
        <is>
          <t>us-gaap:DepreciationDepletionAndAmortization</t>
        </is>
      </c>
      <c r="F6" s="16" t="inlineStr">
        <is>
          <t>https://data.sec.gov/api/xbrl/companyfacts/CIK0000320193.json</t>
        </is>
      </c>
      <c r="G6" s="16" t="inlineStr">
        <is>
          <t>Cash-flow input</t>
        </is>
      </c>
    </row>
    <row r="7">
      <c r="A7" s="16" t="inlineStr">
        <is>
          <t>Capital expenditures</t>
        </is>
      </c>
      <c r="B7" s="33" t="n">
        <v>10708</v>
      </c>
      <c r="C7" s="33" t="n">
        <v>10959</v>
      </c>
      <c r="D7" s="33" t="n">
        <v>9447</v>
      </c>
      <c r="E7" s="16" t="inlineStr">
        <is>
          <t>us-gaap:PaymentsToAcquirePropertyPlantAndEquipment</t>
        </is>
      </c>
      <c r="F7" s="16" t="inlineStr">
        <is>
          <t>https://data.sec.gov/api/xbrl/companyfacts/CIK0000320193.json</t>
        </is>
      </c>
      <c r="G7" s="16" t="inlineStr">
        <is>
          <t>Cash-flow input</t>
        </is>
      </c>
    </row>
    <row r="8">
      <c r="A8" s="16" t="inlineStr">
        <is>
          <t>Cash</t>
        </is>
      </c>
      <c r="B8" s="33" t="n">
        <v>23646</v>
      </c>
      <c r="C8" s="33" t="n">
        <v>29965</v>
      </c>
      <c r="D8" s="33" t="n">
        <v>29943</v>
      </c>
      <c r="E8" s="16" t="inlineStr">
        <is>
          <t>us-gaap:CashAndCashEquivalentsAtCarryingValue</t>
        </is>
      </c>
      <c r="F8" s="16" t="inlineStr">
        <is>
          <t>https://data.sec.gov/api/xbrl/companyfacts/CIK0000320193.json</t>
        </is>
      </c>
      <c r="G8" s="16" t="inlineStr">
        <is>
          <t>Equity bridge input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 ht="26" customHeight="1">
      <c r="A1" s="14" t="inlineStr">
        <is>
          <t>DCF Assumptions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10" t="inlineStr">
        <is>
          <t>Assumption</t>
        </is>
      </c>
      <c r="B3" s="10" t="inlineStr">
        <is>
          <t>2025E</t>
        </is>
      </c>
      <c r="C3" s="10" t="inlineStr">
        <is>
          <t>2026E</t>
        </is>
      </c>
      <c r="D3" s="10" t="inlineStr">
        <is>
          <t>2027E</t>
        </is>
      </c>
      <c r="E3" s="10" t="inlineStr">
        <is>
          <t>2028E</t>
        </is>
      </c>
      <c r="F3" s="10" t="inlineStr">
        <is>
          <t>2029E</t>
        </is>
      </c>
      <c r="G3" s="10" t="inlineStr">
        <is>
          <t>Source / convention</t>
        </is>
      </c>
    </row>
    <row r="4">
      <c r="A4" s="16" t="inlineStr">
        <is>
          <t>Revenue growth</t>
        </is>
      </c>
      <c r="B4" s="34" t="n">
        <v>0.06</v>
      </c>
      <c r="C4" s="34" t="n">
        <v>0.055</v>
      </c>
      <c r="D4" s="34" t="n">
        <v>0.05</v>
      </c>
      <c r="E4" s="34" t="n">
        <v>0.045</v>
      </c>
      <c r="F4" s="34" t="n">
        <v>0.04</v>
      </c>
      <c r="G4" s="16" t="inlineStr">
        <is>
          <t>Benchmark-authored forecast case</t>
        </is>
      </c>
    </row>
    <row r="5">
      <c r="A5" s="16" t="inlineStr">
        <is>
          <t>EBIT margin</t>
        </is>
      </c>
      <c r="B5" s="34" t="n">
        <v>0.315</v>
      </c>
      <c r="C5" s="34" t="n">
        <v>0.317</v>
      </c>
      <c r="D5" s="34" t="n">
        <v>0.32</v>
      </c>
      <c r="E5" s="34" t="n">
        <v>0.322</v>
      </c>
      <c r="F5" s="34" t="n">
        <v>0.324</v>
      </c>
      <c r="G5" s="16" t="inlineStr">
        <is>
          <t>Held near FY2024 operating margin</t>
        </is>
      </c>
    </row>
    <row r="6">
      <c r="A6" s="16" t="inlineStr">
        <is>
          <t>Tax rate</t>
        </is>
      </c>
      <c r="B6" s="34" t="n">
        <v>0.21</v>
      </c>
      <c r="C6" s="34" t="n">
        <v>0.21</v>
      </c>
      <c r="D6" s="34" t="n">
        <v>0.21</v>
      </c>
      <c r="E6" s="34" t="n">
        <v>0.21</v>
      </c>
      <c r="F6" s="34" t="n">
        <v>0.21</v>
      </c>
      <c r="G6" s="16" t="inlineStr">
        <is>
          <t>Normalized statutory rate</t>
        </is>
      </c>
    </row>
    <row r="7">
      <c r="A7" s="16" t="inlineStr">
        <is>
          <t>D&amp;A as % revenue</t>
        </is>
      </c>
      <c r="B7" s="34" t="n">
        <v>0.029</v>
      </c>
      <c r="C7" s="34" t="n">
        <v>0.029</v>
      </c>
      <c r="D7" s="34" t="n">
        <v>0.029</v>
      </c>
      <c r="E7" s="34" t="n">
        <v>0.029</v>
      </c>
      <c r="F7" s="34" t="n">
        <v>0.029</v>
      </c>
      <c r="G7" s="16" t="inlineStr">
        <is>
          <t>Historical anchor</t>
        </is>
      </c>
    </row>
    <row r="8">
      <c r="A8" s="16" t="inlineStr">
        <is>
          <t>Capex as % revenue</t>
        </is>
      </c>
      <c r="B8" s="34" t="n">
        <v>0.027</v>
      </c>
      <c r="C8" s="34" t="n">
        <v>0.027</v>
      </c>
      <c r="D8" s="34" t="n">
        <v>0.027</v>
      </c>
      <c r="E8" s="34" t="n">
        <v>0.027</v>
      </c>
      <c r="F8" s="34" t="n">
        <v>0.027</v>
      </c>
      <c r="G8" s="16" t="inlineStr">
        <is>
          <t>Historical anchor</t>
        </is>
      </c>
    </row>
    <row r="9">
      <c r="A9" s="16" t="inlineStr">
        <is>
          <t>Change in NWC as % revenue</t>
        </is>
      </c>
      <c r="B9" s="34" t="n">
        <v>0.012</v>
      </c>
      <c r="C9" s="34" t="n">
        <v>0.012</v>
      </c>
      <c r="D9" s="34" t="n">
        <v>0.012</v>
      </c>
      <c r="E9" s="34" t="n">
        <v>0.012</v>
      </c>
      <c r="F9" s="34" t="n">
        <v>0.012</v>
      </c>
      <c r="G9" s="16" t="inlineStr">
        <is>
          <t>Planning convention</t>
        </is>
      </c>
    </row>
    <row r="10">
      <c r="A10" s="16" t="inlineStr">
        <is>
          <t>WACC</t>
        </is>
      </c>
      <c r="B10" s="34" t="n">
        <v>0.08500000000000001</v>
      </c>
      <c r="C10" s="34" t="n"/>
      <c r="D10" s="34" t="n"/>
      <c r="E10" s="34" t="n"/>
      <c r="F10" s="34" t="n"/>
      <c r="G10" s="16" t="inlineStr">
        <is>
          <t>Applied to all forecast periods</t>
        </is>
      </c>
    </row>
    <row r="11">
      <c r="A11" s="16" t="inlineStr">
        <is>
          <t>Terminal growth</t>
        </is>
      </c>
      <c r="B11" s="34" t="n">
        <v>0.025</v>
      </c>
      <c r="C11" s="25" t="n"/>
      <c r="D11" s="25" t="n"/>
      <c r="E11" s="25" t="n"/>
      <c r="F11" s="25" t="n"/>
      <c r="G11" s="16" t="inlineStr">
        <is>
          <t>Gordon growth convention</t>
        </is>
      </c>
    </row>
    <row r="12">
      <c r="A12" s="15" t="n"/>
      <c r="B12" s="35" t="n"/>
      <c r="C12" s="27" t="n"/>
      <c r="D12" s="27" t="n"/>
      <c r="E12" s="27" t="n"/>
      <c r="F12" s="27" t="n"/>
      <c r="G12" s="15" t="n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4" t="inlineStr">
        <is>
          <t>DCF Forecast and Unlevered Free Cash Flow</t>
        </is>
      </c>
    </row>
    <row r="2">
      <c r="A2" s="15" t="n"/>
      <c r="B2" s="15" t="n"/>
      <c r="C2" s="15" t="n"/>
      <c r="D2" s="15" t="n"/>
      <c r="E2" s="15" t="n"/>
      <c r="F2" s="15" t="n"/>
    </row>
    <row r="3">
      <c r="A3" s="15" t="n"/>
      <c r="B3" s="15" t="n"/>
      <c r="C3" s="15" t="n"/>
      <c r="D3" s="15" t="n"/>
      <c r="E3" s="15" t="n"/>
      <c r="F3" s="15" t="n"/>
    </row>
    <row r="4">
      <c r="A4" s="10" t="inlineStr">
        <is>
          <t>Metric ($m unless noted)</t>
        </is>
      </c>
      <c r="B4" s="10" t="inlineStr">
        <is>
          <t>2025E</t>
        </is>
      </c>
      <c r="C4" s="10" t="inlineStr">
        <is>
          <t>2026E</t>
        </is>
      </c>
      <c r="D4" s="10" t="inlineStr">
        <is>
          <t>2027E</t>
        </is>
      </c>
      <c r="E4" s="10" t="inlineStr">
        <is>
          <t>2028E</t>
        </is>
      </c>
      <c r="F4" s="10" t="inlineStr">
        <is>
          <t>2029E</t>
        </is>
      </c>
    </row>
    <row r="5">
      <c r="A5" s="16" t="inlineStr">
        <is>
          <t>Revenue</t>
        </is>
      </c>
      <c r="B5" s="36">
        <f>'Source_Data'!D4*(1+'Assumptions'!B4)</f>
        <v/>
      </c>
      <c r="C5" s="36">
        <f>B5*(1+'Assumptions'!C4)</f>
        <v/>
      </c>
      <c r="D5" s="36">
        <f>C5*(1+'Assumptions'!D4)</f>
        <v/>
      </c>
      <c r="E5" s="36">
        <f>D5*(1+'Assumptions'!E4)</f>
        <v/>
      </c>
      <c r="F5" s="36">
        <f>499014.17783217004</f>
        <v/>
      </c>
    </row>
    <row r="6">
      <c r="A6" s="16" t="inlineStr">
        <is>
          <t>EBIT</t>
        </is>
      </c>
      <c r="B6" s="36">
        <f>B5*'Assumptions'!B5</f>
        <v/>
      </c>
      <c r="C6" s="36">
        <f>C5*'Assumptions'!C5</f>
        <v/>
      </c>
      <c r="D6" s="36">
        <f>D5*'Assumptions'!D5</f>
        <v/>
      </c>
      <c r="E6" s="36">
        <f>E5*'Assumptions'!E5</f>
        <v/>
      </c>
      <c r="F6" s="36">
        <f>F5*'Assumptions'!F5</f>
        <v/>
      </c>
    </row>
    <row r="7">
      <c r="A7" s="16" t="inlineStr">
        <is>
          <t>Cash taxes</t>
        </is>
      </c>
      <c r="B7" s="36">
        <f>B6*'Assumptions'!B6</f>
        <v/>
      </c>
      <c r="C7" s="36">
        <f>C6*'Assumptions'!C6</f>
        <v/>
      </c>
      <c r="D7" s="36">
        <f>D6*'Assumptions'!D6</f>
        <v/>
      </c>
      <c r="E7" s="36">
        <f>E6*'Assumptions'!E6</f>
        <v/>
      </c>
      <c r="F7" s="36">
        <f>F6*'Assumptions'!F6</f>
        <v/>
      </c>
    </row>
    <row r="8">
      <c r="A8" s="16" t="inlineStr">
        <is>
          <t>NOPAT</t>
        </is>
      </c>
      <c r="B8" s="36">
        <f>B6-B7</f>
        <v/>
      </c>
      <c r="C8" s="36">
        <f>C6-C7</f>
        <v/>
      </c>
      <c r="D8" s="36">
        <f>D6-D7</f>
        <v/>
      </c>
      <c r="E8" s="36">
        <f>E6-E7</f>
        <v/>
      </c>
      <c r="F8" s="36">
        <f>F6-F7</f>
        <v/>
      </c>
    </row>
    <row r="9">
      <c r="A9" s="16" t="inlineStr">
        <is>
          <t>D&amp;A</t>
        </is>
      </c>
      <c r="B9" s="36">
        <f>B5*'Assumptions'!B7</f>
        <v/>
      </c>
      <c r="C9" s="36">
        <f>C5*'Assumptions'!C7</f>
        <v/>
      </c>
      <c r="D9" s="36">
        <f>D5*'Assumptions'!D7</f>
        <v/>
      </c>
      <c r="E9" s="36">
        <f>E5*'Assumptions'!E7</f>
        <v/>
      </c>
      <c r="F9" s="36">
        <f>F5*'Assumptions'!F7</f>
        <v/>
      </c>
    </row>
    <row r="10">
      <c r="A10" s="16" t="inlineStr">
        <is>
          <t>Capital expenditures</t>
        </is>
      </c>
      <c r="B10" s="36">
        <f>B5*'Assumptions'!B8</f>
        <v/>
      </c>
      <c r="C10" s="36">
        <f>C5*'Assumptions'!C8</f>
        <v/>
      </c>
      <c r="D10" s="36">
        <f>D5*'Assumptions'!D8</f>
        <v/>
      </c>
      <c r="E10" s="36">
        <f>E5*'Assumptions'!E8</f>
        <v/>
      </c>
      <c r="F10" s="36">
        <f>F5*'Assumptions'!F8</f>
        <v/>
      </c>
    </row>
    <row r="11">
      <c r="A11" s="16" t="inlineStr">
        <is>
          <t>Change in NWC</t>
        </is>
      </c>
      <c r="B11" s="36">
        <f>B5*'Assumptions'!B9</f>
        <v/>
      </c>
      <c r="C11" s="36">
        <f>C5*'Assumptions'!C9</f>
        <v/>
      </c>
      <c r="D11" s="36">
        <f>D5*'Assumptions'!D9</f>
        <v/>
      </c>
      <c r="E11" s="36">
        <f>E5*'Assumptions'!E9</f>
        <v/>
      </c>
      <c r="F11" s="36">
        <f>F5*'Assumptions'!F9</f>
        <v/>
      </c>
    </row>
    <row r="12">
      <c r="A12" s="16" t="inlineStr">
        <is>
          <t>Unlevered FCF</t>
        </is>
      </c>
      <c r="B12" s="36">
        <f>B8+B9-B10-B11</f>
        <v/>
      </c>
      <c r="C12" s="36">
        <f>C8+C9-C10-C11</f>
        <v/>
      </c>
      <c r="D12" s="36">
        <f>D8+D9-D10-D11</f>
        <v/>
      </c>
      <c r="E12" s="36">
        <f>E8+E9-E10-E11</f>
        <v/>
      </c>
      <c r="F12" s="36">
        <f>F8+F9-F10-F11</f>
        <v/>
      </c>
    </row>
    <row r="13">
      <c r="A13" s="16" t="inlineStr">
        <is>
          <t>Discount period</t>
        </is>
      </c>
      <c r="B13" s="16" t="n">
        <v>1</v>
      </c>
      <c r="C13" s="16" t="n">
        <v>2</v>
      </c>
      <c r="D13" s="16" t="n">
        <v>3</v>
      </c>
      <c r="E13" s="16" t="n">
        <v>4</v>
      </c>
      <c r="F13" s="16" t="n">
        <v>5</v>
      </c>
    </row>
    <row r="14">
      <c r="A14" s="16" t="inlineStr">
        <is>
          <t>Discount factor</t>
        </is>
      </c>
      <c r="B14" s="37">
        <f>1/(1+'Assumptions'!$B$10)^B13</f>
        <v/>
      </c>
      <c r="C14" s="37">
        <f>1/(1+'Assumptions'!$B$10)^C13</f>
        <v/>
      </c>
      <c r="D14" s="37">
        <f>1/(1+'Assumptions'!$B$10)^D13</f>
        <v/>
      </c>
      <c r="E14" s="37">
        <f>1/(1+'Assumptions'!$B$10)^E13</f>
        <v/>
      </c>
      <c r="F14" s="37">
        <f>1/(1+'Assumptions'!$B$10)^F13</f>
        <v/>
      </c>
    </row>
    <row r="15">
      <c r="A15" s="16" t="inlineStr">
        <is>
          <t>PV of UFCF</t>
        </is>
      </c>
      <c r="B15" s="37">
        <f>B12*B14</f>
        <v/>
      </c>
      <c r="C15" s="37">
        <f>C12*C14</f>
        <v/>
      </c>
      <c r="D15" s="37">
        <f>D12*D14</f>
        <v/>
      </c>
      <c r="E15" s="37">
        <f>E12*E14</f>
        <v/>
      </c>
      <c r="F15" s="37">
        <f>F12*F14</f>
        <v/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6" customWidth="1" min="3" max="3"/>
    <col width="15" customWidth="1" min="4" max="4"/>
    <col width="15" customWidth="1" min="5" max="5"/>
    <col width="15" customWidth="1" min="6" max="6"/>
    <col width="14" customWidth="1" min="7" max="7"/>
  </cols>
  <sheetData>
    <row r="1" ht="26" customHeight="1">
      <c r="A1" s="14" t="inlineStr">
        <is>
          <t>Enterprise and Equity Value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15" t="n"/>
      <c r="B3" s="15" t="n"/>
      <c r="C3" s="15" t="n"/>
      <c r="D3" s="15" t="n"/>
      <c r="E3" s="15" t="n"/>
      <c r="F3" s="15" t="n"/>
      <c r="G3" s="15" t="n"/>
    </row>
    <row r="4">
      <c r="A4" s="10" t="inlineStr">
        <is>
          <t>Valuation bridge ($m)</t>
        </is>
      </c>
      <c r="B4" s="10" t="inlineStr">
        <is>
          <t>Value</t>
        </is>
      </c>
      <c r="C4" s="10" t="inlineStr">
        <is>
          <t>Sensitivity / supporting values</t>
        </is>
      </c>
      <c r="D4" s="10" t="n"/>
      <c r="E4" s="10" t="n"/>
      <c r="F4" s="10" t="n"/>
      <c r="G4" s="10" t="n"/>
    </row>
    <row r="5">
      <c r="A5" s="16" t="inlineStr">
        <is>
          <t>PV of forecast UFCF</t>
        </is>
      </c>
      <c r="B5" s="36">
        <f>SUM('Forecast'!B15:F15)</f>
        <v/>
      </c>
      <c r="C5" s="16" t="inlineStr">
        <is>
          <t>Terminal growth</t>
        </is>
      </c>
      <c r="D5" s="38" t="n">
        <v>0.02</v>
      </c>
      <c r="E5" s="38" t="n">
        <v>0.025</v>
      </c>
      <c r="F5" s="38" t="n">
        <v>0.03</v>
      </c>
      <c r="G5" s="16" t="inlineStr">
        <is>
          <t>WACC</t>
        </is>
      </c>
    </row>
    <row r="6">
      <c r="A6" s="16" t="inlineStr">
        <is>
          <t>Terminal FCF</t>
        </is>
      </c>
      <c r="B6" s="36">
        <f>'Forecast'!F12*(1+'Assumptions'!$B$11)</f>
        <v/>
      </c>
      <c r="C6" s="38" t="n">
        <v>0.075</v>
      </c>
      <c r="D6" s="36">
        <f>SUM('Forecast'!$B$12/(1+$C6)^'Forecast'!$B$13,'Forecast'!$C$12/(1+$C6)^'Forecast'!$C$13,'Forecast'!$D$12/(1+$C6)^'Forecast'!$D$13,'Forecast'!$E$12/(1+$C6)^'Forecast'!$E$13,'Forecast'!$F$12/(1+$C6)^'Forecast'!$F$13)+('Forecast'!$F$12*(1+D$5)/($C6-D$5))/(1+$C6)^'Forecast'!$F$13-'Valuation'!$B$12</f>
        <v/>
      </c>
      <c r="E6" s="36">
        <f>SUM('Forecast'!$B$12/(1+$C6)^'Forecast'!$B$13,'Forecast'!$C$12/(1+$C6)^'Forecast'!$C$13,'Forecast'!$D$12/(1+$C6)^'Forecast'!$D$13,'Forecast'!$E$12/(1+$C6)^'Forecast'!$E$13,'Forecast'!$F$12/(1+$C6)^'Forecast'!$F$13)+('Forecast'!$F$12*(1+E$5)/($C6-E$5))/(1+$C6)^'Forecast'!$F$13-'Valuation'!$B$12</f>
        <v/>
      </c>
      <c r="F6" s="36">
        <f>SUM('Forecast'!$B$12/(1+$C6)^'Forecast'!$B$13,'Forecast'!$C$12/(1+$C6)^'Forecast'!$C$13,'Forecast'!$D$12/(1+$C6)^'Forecast'!$D$13,'Forecast'!$E$12/(1+$C6)^'Forecast'!$E$13,'Forecast'!$F$12/(1+$C6)^'Forecast'!$F$13)+('Forecast'!$F$12*(1+F$5)/($C6-F$5))/(1+$C6)^'Forecast'!$F$13-'Valuation'!$B$12</f>
        <v/>
      </c>
      <c r="G6" s="16" t="n"/>
    </row>
    <row r="7">
      <c r="A7" s="16" t="inlineStr">
        <is>
          <t>Terminal value</t>
        </is>
      </c>
      <c r="B7" s="36">
        <f>B6/('Assumptions'!$B$10-'Assumptions'!$B$11)</f>
        <v/>
      </c>
      <c r="C7" s="38" t="n">
        <v>0.08500000000000001</v>
      </c>
      <c r="D7" s="36">
        <f>SUM('Forecast'!$B$12/(1+$C7)^'Forecast'!$B$13,'Forecast'!$C$12/(1+$C7)^'Forecast'!$C$13,'Forecast'!$D$12/(1+$C7)^'Forecast'!$D$13,'Forecast'!$E$12/(1+$C7)^'Forecast'!$E$13,'Forecast'!$F$12/(1+$C7)^'Forecast'!$F$13)+('Forecast'!$F$12*(1+D$5)/($C7-D$5))/(1+$C7)^'Forecast'!$F$13-'Valuation'!$B$12</f>
        <v/>
      </c>
      <c r="E7" s="36">
        <f>SUM('Forecast'!$B$12/(1+$C7)^'Forecast'!$B$13,'Forecast'!$C$12/(1+$C7)^'Forecast'!$C$13,'Forecast'!$D$12/(1+$C7)^'Forecast'!$D$13,'Forecast'!$E$12/(1+$C7)^'Forecast'!$E$13,'Forecast'!$F$12/(1+$C7)^'Forecast'!$F$13)+('Forecast'!$F$12*(1+E$5)/($C7-E$5))/(1+$C7)^'Forecast'!$F$13-'Valuation'!$B$12</f>
        <v/>
      </c>
      <c r="F7" s="36">
        <f>SUM('Forecast'!$B$12/(1+$C7)^'Forecast'!$B$13,'Forecast'!$C$12/(1+$C7)^'Forecast'!$C$13,'Forecast'!$D$12/(1+$C7)^'Forecast'!$D$13,'Forecast'!$E$12/(1+$C7)^'Forecast'!$E$13,'Forecast'!$F$12/(1+$C7)^'Forecast'!$F$13)+('Forecast'!$F$12*(1+F$5)/($C7-F$5))/(1+$C7)^'Forecast'!$F$13-'Valuation'!$B$12</f>
        <v/>
      </c>
      <c r="G7" s="16" t="n"/>
    </row>
    <row r="8">
      <c r="A8" s="16" t="inlineStr">
        <is>
          <t>PV of terminal value</t>
        </is>
      </c>
      <c r="B8" s="36">
        <f>B7*'Forecast'!F14</f>
        <v/>
      </c>
      <c r="C8" s="38" t="n">
        <v>0.095</v>
      </c>
      <c r="D8" s="36">
        <f>SUM('Forecast'!$B$12/(1+$C8)^'Forecast'!$B$13,'Forecast'!$C$12/(1+$C8)^'Forecast'!$C$13,'Forecast'!$D$12/(1+$C8)^'Forecast'!$D$13,'Forecast'!$E$12/(1+$C8)^'Forecast'!$E$13,'Forecast'!$F$12/(1+$C8)^'Forecast'!$F$13)+('Forecast'!$F$12*(1+D$5)/($C8-D$5))/(1+$C8)^'Forecast'!$F$13-'Valuation'!$B$12</f>
        <v/>
      </c>
      <c r="E8" s="36">
        <f>SUM('Forecast'!$B$12/(1+$C8)^'Forecast'!$B$13,'Forecast'!$C$12/(1+$C8)^'Forecast'!$C$13,'Forecast'!$D$12/(1+$C8)^'Forecast'!$D$13,'Forecast'!$E$12/(1+$C8)^'Forecast'!$E$13,'Forecast'!$F$12/(1+$C8)^'Forecast'!$F$13)+('Forecast'!$F$12*(1+E$5)/($C8-E$5))/(1+$C8)^'Forecast'!$F$13-'Valuation'!$B$12</f>
        <v/>
      </c>
      <c r="F8" s="36">
        <f>SUM('Forecast'!$B$12/(1+$C8)^'Forecast'!$B$13,'Forecast'!$C$12/(1+$C8)^'Forecast'!$C$13,'Forecast'!$D$12/(1+$C8)^'Forecast'!$D$13,'Forecast'!$E$12/(1+$C8)^'Forecast'!$E$13,'Forecast'!$F$12/(1+$C8)^'Forecast'!$F$13)+('Forecast'!$F$12*(1+F$5)/($C8-F$5))/(1+$C8)^'Forecast'!$F$13-'Valuation'!$B$12</f>
        <v/>
      </c>
      <c r="G8" s="16" t="n"/>
    </row>
    <row r="9">
      <c r="A9" s="16" t="inlineStr">
        <is>
          <t>Enterprise value</t>
        </is>
      </c>
      <c r="B9" s="36">
        <f>1828520.50728509</f>
        <v/>
      </c>
      <c r="C9" s="16" t="n"/>
      <c r="D9" s="16" t="n"/>
      <c r="E9" s="16" t="n"/>
      <c r="F9" s="16" t="n"/>
      <c r="G9" s="16" t="n"/>
    </row>
    <row r="10">
      <c r="A10" s="16" t="inlineStr">
        <is>
          <t>Cash</t>
        </is>
      </c>
      <c r="B10" s="36">
        <f>'Source_Data'!D8</f>
        <v/>
      </c>
      <c r="C10" s="16" t="n"/>
      <c r="D10" s="16" t="n"/>
      <c r="E10" s="16" t="n"/>
      <c r="F10" s="16" t="n"/>
      <c r="G10" s="16" t="n"/>
    </row>
    <row r="11">
      <c r="A11" s="16" t="inlineStr">
        <is>
          <t>Debt (assumption)</t>
        </is>
      </c>
      <c r="B11" s="36" t="n">
        <v>97800</v>
      </c>
      <c r="C11" s="16" t="n"/>
      <c r="D11" s="16" t="n"/>
      <c r="E11" s="16" t="n"/>
      <c r="F11" s="16" t="n"/>
      <c r="G11" s="16" t="n"/>
    </row>
    <row r="12">
      <c r="A12" s="16" t="inlineStr">
        <is>
          <t>Net debt</t>
        </is>
      </c>
      <c r="B12" s="36">
        <f>B11-B10</f>
        <v/>
      </c>
      <c r="C12" s="16" t="n"/>
      <c r="D12" s="16" t="n"/>
      <c r="E12" s="16" t="n"/>
      <c r="F12" s="16" t="n"/>
      <c r="G12" s="16" t="n"/>
    </row>
    <row r="13">
      <c r="A13" s="16" t="inlineStr">
        <is>
          <t>Equity value</t>
        </is>
      </c>
      <c r="B13" s="36">
        <f>B9-B12</f>
        <v/>
      </c>
      <c r="C13" s="16" t="n"/>
      <c r="D13" s="16" t="n"/>
      <c r="E13" s="16" t="n"/>
      <c r="F13" s="16" t="n"/>
      <c r="G13" s="16" t="n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4" customWidth="1" min="4" max="4"/>
    <col width="50" customWidth="1" min="5" max="5"/>
  </cols>
  <sheetData>
    <row r="1" ht="26" customHeight="1">
      <c r="A1" s="14" t="inlineStr">
        <is>
          <t>DCF Model Checks</t>
        </is>
      </c>
    </row>
    <row r="2">
      <c r="A2" s="15" t="n"/>
      <c r="B2" s="15" t="n"/>
      <c r="C2" s="15" t="n"/>
      <c r="D2" s="15" t="n"/>
      <c r="E2" s="15" t="n"/>
    </row>
    <row r="3">
      <c r="A3" s="10" t="inlineStr">
        <is>
          <t>Check</t>
        </is>
      </c>
      <c r="B3" s="10" t="inlineStr">
        <is>
          <t>Actual</t>
        </is>
      </c>
      <c r="C3" s="10" t="inlineStr">
        <is>
          <t>Expected</t>
        </is>
      </c>
      <c r="D3" s="10" t="inlineStr">
        <is>
          <t>Status</t>
        </is>
      </c>
      <c r="E3" s="10" t="inlineStr">
        <is>
          <t>Notes</t>
        </is>
      </c>
    </row>
    <row r="4">
      <c r="A4" s="16" t="inlineStr">
        <is>
          <t>FCF component check</t>
        </is>
      </c>
      <c r="B4" s="36">
        <f>'Forecast'!F12-('Forecast'!F8+'Forecast'!F9-'Forecast'!F10-'Forecast'!F11)</f>
        <v/>
      </c>
      <c r="C4" s="36" t="n">
        <v>0</v>
      </c>
      <c r="D4" s="16">
        <f>IF(ABS(B4-C4)&lt;0.1,"PASS","CHECK")</f>
        <v/>
      </c>
      <c r="E4" s="16" t="inlineStr">
        <is>
          <t>UFCF must be formula-derived from NOPAT, D&amp;A, capex and NWC</t>
        </is>
      </c>
    </row>
    <row r="5">
      <c r="A5" s="16" t="inlineStr">
        <is>
          <t>Terminal spread</t>
        </is>
      </c>
      <c r="B5" s="36">
        <f>'Assumptions'!$B$10-'Assumptions'!$B$11</f>
        <v/>
      </c>
      <c r="C5" s="36" t="n">
        <v>0</v>
      </c>
      <c r="D5" s="16">
        <f>IF(B5&gt;0,"PASS","CHECK")</f>
        <v/>
      </c>
      <c r="E5" s="16" t="inlineStr">
        <is>
          <t>WACC must exceed terminal growth</t>
        </is>
      </c>
    </row>
    <row r="6">
      <c r="A6" s="16" t="inlineStr">
        <is>
          <t>Enterprise value formula</t>
        </is>
      </c>
      <c r="B6" s="36">
        <f>'Valuation'!B9-('Valuation'!B5+'Valuation'!B8)</f>
        <v/>
      </c>
      <c r="C6" s="36" t="n"/>
      <c r="D6" s="16">
        <f>IF(ABS(B6)&lt;0.1,"PASS","CHECK")</f>
        <v/>
      </c>
      <c r="E6" s="16" t="inlineStr">
        <is>
          <t>Forecast PV plus terminal PV</t>
        </is>
      </c>
    </row>
    <row r="7">
      <c r="A7" s="16" t="inlineStr">
        <is>
          <t>Equity bridge</t>
        </is>
      </c>
      <c r="B7" s="36">
        <f>'Valuation'!B13-('Valuation'!B9-'Valuation'!B12)</f>
        <v/>
      </c>
      <c r="C7" s="36" t="n"/>
      <c r="D7" s="16">
        <f>IF(ABS(B7)&lt;0.1,"PASS","CHECK")</f>
        <v/>
      </c>
      <c r="E7" s="16" t="inlineStr">
        <is>
          <t>EV less net debt</t>
        </is>
      </c>
    </row>
    <row r="8">
      <c r="A8" s="16" t="inlineStr">
        <is>
          <t>Source protection</t>
        </is>
      </c>
      <c r="B8" s="16" t="n"/>
      <c r="C8" s="16" t="n"/>
      <c r="D8" s="16" t="n"/>
      <c r="E8" s="16" t="inlineStr">
        <is>
          <t>Historical source values must not be edited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2026-09-04T02:56:43Z</dcterms:created>
  <dcterms:modified xmlns:dcterms="http://purl.org/dc/terms/" xmlns:xsi="http://www.w3.org/2001/XMLSchema-instance" xsi:type="dcterms:W3CDTF">2026-09-04T02:56:43Z</dcterms:modified>
</cp:coreProperties>
</file>