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6e6af6010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357d0fb029ab4f12"/>
    <x:sheet xmlns:r="http://schemas.openxmlformats.org/officeDocument/2006/relationships" name="Assumptions" sheetId="2" r:id="Ra8368984c8514951"/>
    <x:sheet xmlns:r="http://schemas.openxmlformats.org/officeDocument/2006/relationships" name="Forecast" sheetId="3" r:id="R9e1865e79b2f4af8"/>
    <x:sheet xmlns:r="http://schemas.openxmlformats.org/officeDocument/2006/relationships" name="Valuation" sheetId="4" r:id="R5e7b86f9fa624d98"/>
    <x:sheet xmlns:r="http://schemas.openxmlformats.org/officeDocument/2006/relationships" name="Checks" sheetId="5" r:id="R584ce5d52387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f4214e97b48cd" /><Relationship Type="http://schemas.openxmlformats.org/officeDocument/2006/relationships/theme" Target="/xl/theme/theme1.xml" Id="R3359b8635d8e47a5" /><Relationship Type="http://schemas.openxmlformats.org/officeDocument/2006/relationships/sharedStrings" Target="/xl/sharedStrings.xml" Id="R6b3fa7f518d34663" /><Relationship Type="http://schemas.openxmlformats.org/officeDocument/2006/relationships/worksheet" Target="/xl/worksheets/sheet1.xml" Id="R357d0fb029ab4f12" /><Relationship Type="http://schemas.openxmlformats.org/officeDocument/2006/relationships/worksheet" Target="/xl/worksheets/sheet2.xml" Id="Ra8368984c8514951" /><Relationship Type="http://schemas.openxmlformats.org/officeDocument/2006/relationships/worksheet" Target="/xl/worksheets/sheet3.xml" Id="R9e1865e79b2f4af8" /><Relationship Type="http://schemas.openxmlformats.org/officeDocument/2006/relationships/worksheet" Target="/xl/worksheets/sheet4.xml" Id="R5e7b86f9fa624d98" /><Relationship Type="http://schemas.openxmlformats.org/officeDocument/2006/relationships/worksheet" Target="/xl/worksheets/sheet5.xml" Id="R584ce5d52387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C5*(1+'Assumptions'!D4)</x:f>
        <x:v>459159.16252500005</x:v>
      </x:c>
      <x:c r="E5" s="30" t="n">
        <x:f>D5*(1+'Assumptions'!E4)</x:f>
        <x:v>479821.32483862503</x:v>
      </x:c>
      <x:c r="F5" s="30" t="n">
        <x:f>E5*(1+'Assumptions'!F4)</x:f>
        <x:v>499014.17783217004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146930.93200800003</x:v>
      </x:c>
      <x:c r="E6" s="30" t="n">
        <x:f>E5*'Assumptions'!E5</x:f>
        <x:v>154502.46659803725</x:v>
      </x:c>
      <x:c r="F6" s="30" t="n">
        <x:f>F5*'Assumptions'!F5</x:f>
        <x:v>161680.5936176231</x:v>
      </x:c>
    </x:row>
    <x:row r="7">
      <x:c r="A7" s="16" t="str">
        <x:v>Cash taxes</x:v>
      </x:c>
      <x:c r="B7" s="30" t="n">
        <x:f>B6-B8</x:f>
        <x:v>27418.983164999998</x:v>
      </x:c>
      <x:c r="C7" s="30" t="n">
        <x:f>C6-C8</x:f>
        <x:v>29110.690904085</x:v>
      </x:c>
      <x:c r="D7" s="30" t="n">
        <x:f>D6-D8</x:f>
        <x:v>30855.495721679996</x:v>
      </x:c>
      <x:c r="E7" s="30" t="n">
        <x:f>E6-E8</x:f>
        <x:v>32445.517985587823</x:v>
      </x:c>
      <x:c r="F7" s="30" t="n">
        <x:f>F6-F8</x:f>
        <x:v>33952.924659700846</x:v>
      </x:c>
    </x:row>
    <x:row r="8">
      <x:c r="A8" s="16" t="str">
        <x:v>NOPAT</x:v>
      </x:c>
      <x:c r="B8" s="30" t="n">
        <x:f>B6*(1-'Assumptions'!B6)</x:f>
        <x:v>103147.603335</x:v>
      </x:c>
      <x:c r="C8" s="30" t="n">
        <x:f>C6*(1-'Assumptions'!C6)</x:f>
        <x:v>109511.646734415</x:v>
      </x:c>
      <x:c r="D8" s="30" t="n">
        <x:f>D6*(1-'Assumptions'!D6)</x:f>
        <x:v>116075.43628632004</x:v>
      </x:c>
      <x:c r="E8" s="30" t="n">
        <x:f>E6*(1-'Assumptions'!E6)</x:f>
        <x:v>122056.94861244943</x:v>
      </x:c>
      <x:c r="F8" s="30" t="n">
        <x:f>F6*(1-'Assumptions'!F6)</x:f>
        <x:v>127727.66895792224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13315.615713225003</x:v>
      </x:c>
      <x:c r="E9" s="30" t="n">
        <x:f>E5*'Assumptions'!E7</x:f>
        <x:v>13914.818420320127</x:v>
      </x:c>
      <x:c r="F9" s="30" t="n">
        <x:f>F5*'Assumptions'!F7</x:f>
        <x:v>14471.411157132932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12397.297388175</x:v>
      </x:c>
      <x:c r="E10" s="30" t="n">
        <x:f>E5*'Assumptions'!E8</x:f>
        <x:v>12955.175770642876</x:v>
      </x:c>
      <x:c r="F10" s="30" t="n">
        <x:f>F5*'Assumptions'!F8</x:f>
        <x:v>13473.382801468591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5509.909950300001</x:v>
      </x:c>
      <x:c r="E11" s="30" t="n">
        <x:f>E5*'Assumptions'!E9</x:f>
        <x:v>5757.855898063501</x:v>
      </x:c>
      <x:c r="F11" s="30" t="n">
        <x:f>F5*'Assumptions'!F9</x:f>
        <x:v>5988.170133986041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111483.84466107003</x:v>
      </x:c>
      <x:c r="E12" s="30" t="n">
        <x:f>E8+E9-E10-E11</x:f>
        <x:v>117258.73536406319</x:v>
      </x:c>
      <x:c r="F12" s="30" t="n">
        <x:f>SUM(F8,F9,-F10,-F11)</x:f>
        <x:v>122737.52717960054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(1+'Assumptions'!$B$10)^-B13</x:f>
        <x:v>0.9216589861751152</x:v>
      </x:c>
      <x:c r="C14" s="31" t="n">
        <x:f>(1+'Assumptions'!$B$10)^-C13</x:f>
        <x:v>0.8494552867973413</x:v>
      </x:c>
      <x:c r="D14" s="31" t="n">
        <x:f>(1+'Assumptions'!$B$10)^-D13</x:f>
        <x:v>0.7829080984307293</x:v>
      </x:c>
      <x:c r="E14" s="31" t="n">
        <x:f>(1+'Assumptions'!$B$10)^-E13</x:f>
        <x:v>0.7215742842679533</x:v>
      </x:c>
      <x:c r="F14" s="31" t="n">
        <x:f>(1+'Assumptions'!$B$10)^-F13</x:f>
        <x:v>0.6650454232884362</x:v>
      </x:c>
    </x:row>
    <x:row r="15">
      <x:c r="A15" s="16" t="str">
        <x:v>PV of UFCF</x:v>
      </x:c>
      <x:c r="B15" s="31" t="n">
        <x:f>B12/(1+'Assumptions'!$B$10)^B13</x:f>
        <x:v>91246.66574654379</x:v>
      </x:c>
      <x:c r="C15" s="31" t="n">
        <x:f>C12/(1+'Assumptions'!$B$10)^C13</x:f>
        <x:v>89310.6265407335</x:v>
      </x:c>
      <x:c r="D15" s="31" t="n">
        <x:f>D12/(1+'Assumptions'!$B$10)^D13</x:f>
        <x:v>87281.60482934516</x:v>
      </x:c>
      <x:c r="E15" s="31" t="n">
        <x:f>E12/(1+'Assumptions'!$B$10)^E13</x:f>
        <x:v>84610.88804448924</x:v>
      </x:c>
      <x:c r="F15" s="31" t="n">
        <x:f>F12/(1+'Assumptions'!$B$10)^F13</x:f>
        <x:v>81626.0307165334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434075.81587764504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125805.96535909054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1963778.747132563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2130880.4296335205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2335115.8193569146</x:v>
      </x:c>
      <x:c r="G6" s="16"/>
    </x:row>
    <x:row r="7">
      <x:c r="A7" s="16" t="str">
        <x:v>Terminal value</x:v>
      </x:c>
      <x:c r="B7" s="30" t="n">
        <x:f>'Forecast'!F12*(1+'Assumptions'!$B$11)/('Assumptions'!$B$10-'Assumptions'!$B$11)</x:f>
        <x:v>2096766.0893181753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1647119.6055832459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1760663.5072850902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1894851.7547509065</x:v>
      </x:c>
      <x:c r="G7" s="16"/>
    </x:row>
    <x:row r="8">
      <x:c r="A8" s="16" t="str">
        <x:v>PV of terminal value</x:v>
      </x:c>
      <x:c r="B8" s="30" t="n">
        <x:f>B7*'Forecast'!F14</x:f>
        <x:v>1394444.691407445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1415025.0387026428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1496332.7232282418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1590149.2822962415</x:v>
      </x:c>
      <x:c r="G8" s="16"/>
    </x:row>
    <x:row r="9">
      <x:c r="A9" s="16" t="str">
        <x:v>Enterprise value</x:v>
      </x:c>
      <x:c r="B9" s="30" t="n">
        <x:f>SUM('Forecast'!B15:F15)+B8</x:f>
        <x:v>1828520.50728509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1760663.50728509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