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535af0ebf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791eeecc35d1424a"/>
    <x:sheet xmlns:r="http://schemas.openxmlformats.org/officeDocument/2006/relationships" name="Assumptions" sheetId="2" r:id="R5575b47889ea455f"/>
    <x:sheet xmlns:r="http://schemas.openxmlformats.org/officeDocument/2006/relationships" name="Forecast" sheetId="3" r:id="Redad1b87c7904418"/>
    <x:sheet xmlns:r="http://schemas.openxmlformats.org/officeDocument/2006/relationships" name="Valuation" sheetId="4" r:id="Rb390e97b12ad4ffd"/>
    <x:sheet xmlns:r="http://schemas.openxmlformats.org/officeDocument/2006/relationships" name="Checks" sheetId="5" r:id="R96035381500c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c458a4b4e4ed1" /><Relationship Type="http://schemas.openxmlformats.org/officeDocument/2006/relationships/theme" Target="/xl/theme/theme1.xml" Id="R93b9d9d0a45b4f38" /><Relationship Type="http://schemas.openxmlformats.org/officeDocument/2006/relationships/sharedStrings" Target="/xl/sharedStrings.xml" Id="R5703cad42fb245f1" /><Relationship Type="http://schemas.openxmlformats.org/officeDocument/2006/relationships/worksheet" Target="/xl/worksheets/sheet1.xml" Id="R791eeecc35d1424a" /><Relationship Type="http://schemas.openxmlformats.org/officeDocument/2006/relationships/worksheet" Target="/xl/worksheets/sheet2.xml" Id="R5575b47889ea455f" /><Relationship Type="http://schemas.openxmlformats.org/officeDocument/2006/relationships/worksheet" Target="/xl/worksheets/sheet3.xml" Id="Redad1b87c7904418" /><Relationship Type="http://schemas.openxmlformats.org/officeDocument/2006/relationships/worksheet" Target="/xl/worksheets/sheet4.xml" Id="Rb390e97b12ad4ffd" /><Relationship Type="http://schemas.openxmlformats.org/officeDocument/2006/relationships/worksheet" Target="/xl/worksheets/sheet5.xml" Id="R96035381500c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/>
      <x:c r="C5" s="30"/>
      <x:c r="D5" s="30"/>
      <x:c r="E5" s="30"/>
      <x:c r="F5" s="30"/>
    </x:row>
    <x:row r="6">
      <x:c r="A6" s="16" t="str">
        <x:v>EBIT</x:v>
      </x:c>
      <x:c r="B6" s="30"/>
      <x:c r="C6" s="30"/>
      <x:c r="D6" s="30"/>
      <x:c r="E6" s="30"/>
      <x:c r="F6" s="30"/>
    </x:row>
    <x:row r="7">
      <x:c r="A7" s="16" t="str">
        <x:v>Cash taxes</x:v>
      </x:c>
      <x:c r="B7" s="30"/>
      <x:c r="C7" s="30"/>
      <x:c r="D7" s="30"/>
      <x:c r="E7" s="30"/>
      <x:c r="F7" s="30"/>
    </x:row>
    <x:row r="8">
      <x:c r="A8" s="16" t="str">
        <x:v>NOPAT</x:v>
      </x:c>
      <x:c r="B8" s="30"/>
      <x:c r="C8" s="30"/>
      <x:c r="D8" s="30"/>
      <x:c r="E8" s="30"/>
      <x:c r="F8" s="30"/>
    </x:row>
    <x:row r="9">
      <x:c r="A9" s="16" t="str">
        <x:v>D&amp;A</x:v>
      </x:c>
      <x:c r="B9" s="30"/>
      <x:c r="C9" s="30"/>
      <x:c r="D9" s="30"/>
      <x:c r="E9" s="30"/>
      <x:c r="F9" s="30"/>
    </x:row>
    <x:row r="10">
      <x:c r="A10" s="16" t="str">
        <x:v>Capital expenditures</x:v>
      </x:c>
      <x:c r="B10" s="30"/>
      <x:c r="C10" s="30"/>
      <x:c r="D10" s="30"/>
      <x:c r="E10" s="30"/>
      <x:c r="F10" s="30"/>
    </x:row>
    <x:row r="11">
      <x:c r="A11" s="16" t="str">
        <x:v>Change in NWC</x:v>
      </x:c>
      <x:c r="B11" s="30"/>
      <x:c r="C11" s="30"/>
      <x:c r="D11" s="30"/>
      <x:c r="E11" s="30"/>
      <x:c r="F11" s="30"/>
    </x:row>
    <x:row r="12">
      <x:c r="A12" s="16" t="str">
        <x:v>Unlevered FCF</x:v>
      </x:c>
      <x:c r="B12" s="30"/>
      <x:c r="C12" s="30"/>
      <x:c r="D12" s="30"/>
      <x:c r="E12" s="30"/>
      <x:c r="F12" s="30"/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/>
      <x:c r="C14" s="31"/>
      <x:c r="D14" s="31"/>
      <x:c r="E14" s="31"/>
      <x:c r="F14" s="31"/>
    </x:row>
    <x:row r="15">
      <x:c r="A15" s="16" t="str">
        <x:v>PV of UFCF</x:v>
      </x:c>
      <x:c r="B15" s="31"/>
      <x:c r="C15" s="31"/>
      <x:c r="D15" s="31"/>
      <x:c r="E15" s="31"/>
      <x:c r="F15" s="31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/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/>
      <x:c r="C6" s="32" t="str">
        <x:v>7.5%</x:v>
      </x:c>
      <x:c r="D6" s="30"/>
      <x:c r="E6" s="30"/>
      <x:c r="F6" s="30"/>
      <x:c r="G6" s="16"/>
    </x:row>
    <x:row r="7">
      <x:c r="A7" s="16" t="str">
        <x:v>Terminal value</x:v>
      </x:c>
      <x:c r="B7" s="30"/>
      <x:c r="C7" s="32" t="str">
        <x:v>8.5%</x:v>
      </x:c>
      <x:c r="D7" s="30"/>
      <x:c r="E7" s="30"/>
      <x:c r="F7" s="30"/>
      <x:c r="G7" s="16"/>
    </x:row>
    <x:row r="8">
      <x:c r="A8" s="16" t="str">
        <x:v>PV of terminal value</x:v>
      </x:c>
      <x:c r="B8" s="30"/>
      <x:c r="C8" s="32" t="str">
        <x:v>9.5%</x:v>
      </x:c>
      <x:c r="D8" s="30"/>
      <x:c r="E8" s="30"/>
      <x:c r="F8" s="30"/>
      <x:c r="G8" s="16"/>
    </x:row>
    <x:row r="9">
      <x:c r="A9" s="16" t="str">
        <x:v>Enterprise value</x:v>
      </x:c>
      <x:c r="B9" s="30"/>
      <x:c r="C9" s="16"/>
      <x:c r="D9" s="16"/>
      <x:c r="E9" s="16"/>
      <x:c r="F9" s="16"/>
      <x:c r="G9" s="16"/>
    </x:row>
    <x:row r="10">
      <x:c r="A10" s="16" t="str">
        <x:v>Cash</x:v>
      </x:c>
      <x:c r="B10" s="30"/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/>
      <x:c r="C11" s="16"/>
      <x:c r="D11" s="16"/>
      <x:c r="E11" s="16"/>
      <x:c r="F11" s="16"/>
      <x:c r="G11" s="16"/>
    </x:row>
    <x:row r="12">
      <x:c r="A12" s="16" t="str">
        <x:v>Net debt</x:v>
      </x:c>
      <x:c r="B12" s="30"/>
      <x:c r="C12" s="16"/>
      <x:c r="D12" s="16"/>
      <x:c r="E12" s="16"/>
      <x:c r="F12" s="16"/>
      <x:c r="G12" s="16"/>
    </x:row>
    <x:row r="13">
      <x:c r="A13" s="16" t="str">
        <x:v>Equity value</x:v>
      </x:c>
      <x:c r="B13" s="30"/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