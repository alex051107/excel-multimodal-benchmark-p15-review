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ccfbae52a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72b80f43cc5d4ce8"/>
    <x:sheet xmlns:r="http://schemas.openxmlformats.org/officeDocument/2006/relationships" name="Line_Items" sheetId="2" r:id="R07b51ff9c69842ff"/>
    <x:sheet xmlns:r="http://schemas.openxmlformats.org/officeDocument/2006/relationships" name="Provenance" sheetId="3" r:id="R2c283e3ace2e4a13"/>
    <x:sheet xmlns:r="http://schemas.openxmlformats.org/officeDocument/2006/relationships" name="Checks" sheetId="4" r:id="R770e994d8865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0c6c693544cc3" /><Relationship Type="http://schemas.openxmlformats.org/officeDocument/2006/relationships/theme" Target="/xl/theme/theme1.xml" Id="R4afa6a637831412a" /><Relationship Type="http://schemas.openxmlformats.org/officeDocument/2006/relationships/sharedStrings" Target="/xl/sharedStrings.xml" Id="Ra81aa8e708414a22" /><Relationship Type="http://schemas.openxmlformats.org/officeDocument/2006/relationships/worksheet" Target="/xl/worksheets/sheet1.xml" Id="R72b80f43cc5d4ce8" /><Relationship Type="http://schemas.openxmlformats.org/officeDocument/2006/relationships/worksheet" Target="/xl/worksheets/sheet2.xml" Id="R07b51ff9c69842ff" /><Relationship Type="http://schemas.openxmlformats.org/officeDocument/2006/relationships/worksheet" Target="/xl/worksheets/sheet3.xml" Id="R2c283e3ace2e4a13" /><Relationship Type="http://schemas.openxmlformats.org/officeDocument/2006/relationships/worksheet" Target="/xl/worksheets/sheet4.xml" Id="R770e994d88654c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 t="str">
        <x:v>Alder &amp; Finch Supply</x:v>
      </x:c>
      <x:c r="C4" s="17"/>
    </x:row>
    <x:row r="5">
      <x:c r="A5" s="12" t="str">
        <x:v>Invoice ID</x:v>
      </x:c>
      <x:c r="B5" s="12" t="str">
        <x:v>INV-2048</x:v>
      </x:c>
      <x:c r="C5" s="17"/>
    </x:row>
    <x:row r="6">
      <x:c r="A6" s="12" t="str">
        <x:v>Invoice date</x:v>
      </x:c>
      <x:c r="B6" s="12" t="str">
        <x:v>2026-06-18</x:v>
      </x:c>
      <x:c r="C6" s="17"/>
    </x:row>
    <x:row r="7">
      <x:c r="A7" s="12" t="str">
        <x:v>Customer</x:v>
      </x:c>
      <x:c r="B7" s="12" t="str">
        <x:v>Northstar Operations</x:v>
      </x:c>
      <x:c r="C7" s="17"/>
    </x:row>
    <x:row r="8">
      <x:c r="A8" s="12" t="str">
        <x:v>Currency</x:v>
      </x:c>
      <x:c r="B8" s="12" t="str">
        <x:v>USD</x:v>
      </x:c>
      <x:c r="C8" s="17"/>
    </x:row>
    <x:row r="9">
      <x:c r="A9" s="12" t="str">
        <x:v>PO reference</x:v>
      </x:c>
      <x:c r="B9" s="12" t="str">
        <x:v>PO-7194</x:v>
      </x:c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 t="n">
        <x:f>SUM('Line_Items'!E4:E7)</x:f>
        <x:v>1380</x:v>
      </x:c>
      <x:c r="C12" s="17"/>
    </x:row>
    <x:row r="13">
      <x:c r="A13" s="12" t="str">
        <x:v>Discount rate</x:v>
      </x:c>
      <x:c r="B13" s="14" t="n">
        <x:v>0.1</x:v>
      </x:c>
      <x:c r="C13" s="17"/>
    </x:row>
    <x:row r="14">
      <x:c r="A14" s="12" t="str">
        <x:v>Discount amount</x:v>
      </x:c>
      <x:c r="B14" s="13" t="n">
        <x:f>B12*B13</x:f>
        <x:v>138</x:v>
      </x:c>
      <x:c r="C14" s="17"/>
    </x:row>
    <x:row r="15">
      <x:c r="A15" s="12" t="str">
        <x:v>Taxable amount</x:v>
      </x:c>
      <x:c r="B15" s="13" t="n">
        <x:f>B12-B14</x:f>
        <x:v>1242</x:v>
      </x:c>
      <x:c r="C15" s="17"/>
    </x:row>
    <x:row r="16">
      <x:c r="A16" s="12" t="str">
        <x:v>Tax rate</x:v>
      </x:c>
      <x:c r="B16" s="15" t="n">
        <x:v>0.0825</x:v>
      </x:c>
      <x:c r="C16" s="17"/>
    </x:row>
    <x:row r="17">
      <x:c r="A17" s="12" t="str">
        <x:v>Tax amount</x:v>
      </x:c>
      <x:c r="B17" s="13" t="n">
        <x:f>B15*B16</x:f>
        <x:v>102.465</x:v>
      </x:c>
      <x:c r="C17" s="17"/>
    </x:row>
    <x:row r="18">
      <x:c r="A18" s="12" t="str">
        <x:v>Freight</x:v>
      </x:c>
      <x:c r="B18" s="13" t="n">
        <x:v>45</x:v>
      </x:c>
      <x:c r="C18" s="17"/>
    </x:row>
    <x:row r="19">
      <x:c r="A19" s="12" t="str">
        <x:v>Total payable</x:v>
      </x:c>
      <x:c r="B19" s="13" t="n">
        <x:f>B15+B17+B18</x:f>
        <x:v>1389.465</x:v>
      </x:c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 t="str">
        <x:v>INV-2048-01</x:v>
      </x:c>
      <x:c r="B4" s="12" t="str">
        <x:v>Thermal valve kit</x:v>
      </x:c>
      <x:c r="C4" s="12" t="n">
        <x:v>4</x:v>
      </x:c>
      <x:c r="D4" s="13" t="n">
        <x:v>180</x:v>
      </x:c>
      <x:c r="E4" s="13" t="n">
        <x:f>C4*D4</x:f>
        <x:v>720</x:v>
      </x:c>
      <x:c r="F4" s="12" t="n">
        <x:v>1</x:v>
      </x:c>
      <x:c r="G4" s="12" t="str">
        <x:v>invoice_multipage.pdf:p1:item-1</x:v>
      </x:c>
    </x:row>
    <x:row r="5">
      <x:c r="A5" s="12" t="str">
        <x:v>INV-2048-02</x:v>
      </x:c>
      <x:c r="B5" s="12" t="str">
        <x:v>Pressure sensor</x:v>
      </x:c>
      <x:c r="C5" s="12" t="n">
        <x:v>3</x:v>
      </x:c>
      <x:c r="D5" s="13" t="n">
        <x:v>140</x:v>
      </x:c>
      <x:c r="E5" s="13" t="n">
        <x:f>C5*D5</x:f>
        <x:v>420</x:v>
      </x:c>
      <x:c r="F5" s="12" t="n">
        <x:v>1</x:v>
      </x:c>
      <x:c r="G5" s="12" t="str">
        <x:v>invoice_multipage.pdf:p1:item-2</x:v>
      </x:c>
    </x:row>
    <x:row r="6">
      <x:c r="A6" s="12" t="str">
        <x:v>INV-2048-03</x:v>
      </x:c>
      <x:c r="B6" s="12" t="str">
        <x:v>Field commissioning</x:v>
      </x:c>
      <x:c r="C6" s="12" t="n">
        <x:v>1</x:v>
      </x:c>
      <x:c r="D6" s="13" t="n">
        <x:v>240</x:v>
      </x:c>
      <x:c r="E6" s="13" t="n">
        <x:f>C6*D6</x:f>
        <x:v>240</x:v>
      </x:c>
      <x:c r="F6" s="12" t="n">
        <x:v>1</x:v>
      </x:c>
      <x:c r="G6" s="12" t="str">
        <x:v>invoice_multipage.pdf:p1:item-3</x:v>
      </x:c>
    </x:row>
    <x:row r="7">
      <x:c r="A7" s="12"/>
      <x:c r="B7" s="12"/>
      <x:c r="C7" s="12"/>
      <x:c r="D7" s="13"/>
      <x:c r="E7" s="13"/>
      <x:c r="F7" s="12"/>
      <x:c r="G7" s="1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INV-2048-01</x:v>
      </x:c>
      <x:c r="B4" s="12" t="str">
        <x:v>invoice_multipage.pdf</x:v>
      </x:c>
      <x:c r="C4" s="12" t="n">
        <x:v>1</x:v>
      </x:c>
      <x:c r="D4" s="12" t="str">
        <x:v>invoice_multipage.pdf:p1:item-1</x:v>
      </x:c>
      <x:c r="E4" s="12" t="str">
        <x:v>Line_Items!4</x:v>
      </x:c>
    </x:row>
    <x:row r="5">
      <x:c r="A5" s="12" t="str">
        <x:v>INV-2048-02</x:v>
      </x:c>
      <x:c r="B5" s="12" t="str">
        <x:v>invoice_multipage.pdf</x:v>
      </x:c>
      <x:c r="C5" s="12" t="n">
        <x:v>1</x:v>
      </x:c>
      <x:c r="D5" s="12" t="str">
        <x:v>invoice_multipage.pdf:p1:item-2</x:v>
      </x:c>
      <x:c r="E5" s="12" t="str">
        <x:v>Line_Items!5</x:v>
      </x:c>
    </x:row>
    <x:row r="6">
      <x:c r="A6" s="12" t="str">
        <x:v>INV-2048-03</x:v>
      </x:c>
      <x:c r="B6" s="12" t="str">
        <x:v>invoice_multipage.pdf</x:v>
      </x:c>
      <x:c r="C6" s="12" t="n">
        <x:v>1</x:v>
      </x:c>
      <x:c r="D6" s="12" t="str">
        <x:v>invoice_multipage.pdf:p1:item-3</x:v>
      </x:c>
      <x:c r="E6" s="12" t="str">
        <x:v>Line_Items!6</x:v>
      </x:c>
    </x:row>
    <x:row r="7">
      <x:c r="A7" s="12" t="str">
        <x:v>INV-2048-04</x:v>
      </x:c>
      <x:c r="B7" s="12" t="str">
        <x:v>invoice_multipage.pdf</x:v>
      </x:c>
      <x:c r="C7" s="12" t="n">
        <x:v>2</x:v>
      </x:c>
      <x:c r="D7" s="12" t="str">
        <x:v>invoice_multipage.pdf:p2:item-4</x:v>
      </x:c>
      <x:c r="E7" s="12" t="str">
        <x:v>Line_Items!7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 t="n">
        <x:f>1+1+1+1</x:f>
        <x:v>4</x:v>
      </x:c>
      <x:c r="C4" s="12" t="n">
        <x:v>4</x:v>
      </x:c>
      <x:c r="D4" s="12" t="str">
        <x:v>All invoice rows retained</x:v>
      </x:c>
    </x:row>
    <x:row r="5">
      <x:c r="A5" s="12" t="str">
        <x:v>Payable total</x:v>
      </x:c>
      <x:c r="B5" s="13" t="n">
        <x:f>'Invoice_Header'!B19</x:f>
        <x:v>1389.465</x:v>
      </x:c>
      <x:c r="C5" s="13" t="n">
        <x:v>1681.74</x:v>
      </x:c>
      <x:c r="D5" s="12" t="str">
        <x:v>Discount, tax, and freight included</x:v>
      </x:c>
    </x:row>
    <x:row r="6">
      <x:c r="A6" s="12" t="str">
        <x:v>Provenance rows</x:v>
      </x:c>
      <x:c r="B6" s="12" t="n">
        <x:f>1+1+1+1</x:f>
        <x:v>4</x:v>
      </x:c>
      <x:c r="C6" s="12" t="n">
        <x:v>4</x:v>
      </x:c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