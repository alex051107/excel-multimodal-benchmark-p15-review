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8e7e8511242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_Header" sheetId="1" r:id="R3a39784c720942f4"/>
    <x:sheet xmlns:r="http://schemas.openxmlformats.org/officeDocument/2006/relationships" name="Line_Items" sheetId="2" r:id="R71846d4591894a5a"/>
    <x:sheet xmlns:r="http://schemas.openxmlformats.org/officeDocument/2006/relationships" name="Provenance" sheetId="3" r:id="R8683f6465f784a1f"/>
    <x:sheet xmlns:r="http://schemas.openxmlformats.org/officeDocument/2006/relationships" name="Checks" sheetId="4" r:id="Rf657701c0ae6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d4aab78a4405a" /><Relationship Type="http://schemas.openxmlformats.org/officeDocument/2006/relationships/theme" Target="/xl/theme/theme1.xml" Id="R88e4666b9eda44b8" /><Relationship Type="http://schemas.openxmlformats.org/officeDocument/2006/relationships/sharedStrings" Target="/xl/sharedStrings.xml" Id="R3866a8bb1f0648ef" /><Relationship Type="http://schemas.openxmlformats.org/officeDocument/2006/relationships/worksheet" Target="/xl/worksheets/sheet1.xml" Id="R3a39784c720942f4" /><Relationship Type="http://schemas.openxmlformats.org/officeDocument/2006/relationships/worksheet" Target="/xl/worksheets/sheet2.xml" Id="R71846d4591894a5a" /><Relationship Type="http://schemas.openxmlformats.org/officeDocument/2006/relationships/worksheet" Target="/xl/worksheets/sheet3.xml" Id="R8683f6465f784a1f" /><Relationship Type="http://schemas.openxmlformats.org/officeDocument/2006/relationships/worksheet" Target="/xl/worksheets/sheet4.xml" Id="Rf657701c0ae647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20" hidden="0" customWidth="1"/>
  </x:cols>
  <x:sheetData>
    <x:row r="1" ht="26" customHeight="1">
      <x:c r="A1" s="16" t="str">
        <x:v>Accounts-Payable Invoice Header</x:v>
      </x:c>
      <x:c r="B1" s="16"/>
      <x:c r="C1" s="16"/>
    </x:row>
    <x:row r="2">
      <x:c r="A2" s="17"/>
      <x:c r="B2" s="17"/>
      <x:c r="C2" s="17"/>
    </x:row>
    <x:row r="3">
      <x:c r="A3" s="9" t="str">
        <x:v>Field</x:v>
      </x:c>
      <x:c r="B3" s="9" t="str">
        <x:v>Value</x:v>
      </x:c>
      <x:c r="C3" s="17"/>
    </x:row>
    <x:row r="4">
      <x:c r="A4" s="12" t="str">
        <x:v>Vendor</x:v>
      </x:c>
      <x:c r="B4" s="12" t="str">
        <x:v>Alder &amp; Finch Supply</x:v>
      </x:c>
      <x:c r="C4" s="17"/>
    </x:row>
    <x:row r="5">
      <x:c r="A5" s="12" t="str">
        <x:v>Invoice ID</x:v>
      </x:c>
      <x:c r="B5" s="12" t="str">
        <x:v>INV-2048</x:v>
      </x:c>
      <x:c r="C5" s="17"/>
    </x:row>
    <x:row r="6">
      <x:c r="A6" s="12" t="str">
        <x:v>Invoice date</x:v>
      </x:c>
      <x:c r="B6" s="12" t="str">
        <x:v>2026-06-18</x:v>
      </x:c>
      <x:c r="C6" s="17"/>
    </x:row>
    <x:row r="7">
      <x:c r="A7" s="12" t="str">
        <x:v>Customer</x:v>
      </x:c>
      <x:c r="B7" s="12" t="str">
        <x:v>Northstar Operations</x:v>
      </x:c>
      <x:c r="C7" s="17"/>
    </x:row>
    <x:row r="8">
      <x:c r="A8" s="12" t="str">
        <x:v>Currency</x:v>
      </x:c>
      <x:c r="B8" s="12" t="str">
        <x:v>USD</x:v>
      </x:c>
      <x:c r="C8" s="17"/>
    </x:row>
    <x:row r="9">
      <x:c r="A9" s="12" t="str">
        <x:v>PO reference</x:v>
      </x:c>
      <x:c r="B9" s="12" t="str">
        <x:v>PO-7194</x:v>
      </x:c>
      <x:c r="C9" s="17"/>
    </x:row>
    <x:row r="10">
      <x:c r="A10" s="17"/>
      <x:c r="B10" s="17"/>
      <x:c r="C10" s="17"/>
    </x:row>
    <x:row r="11">
      <x:c r="A11" s="9" t="str">
        <x:v>Calculation</x:v>
      </x:c>
      <x:c r="B11" s="9" t="str">
        <x:v>Value</x:v>
      </x:c>
      <x:c r="C11" s="17"/>
    </x:row>
    <x:row r="12">
      <x:c r="A12" s="12" t="str">
        <x:v>Line-item subtotal</x:v>
      </x:c>
      <x:c r="B12" s="13" t="n">
        <x:f>SUM('Line_Items'!E4:E7)</x:f>
        <x:v>1680</x:v>
      </x:c>
      <x:c r="C12" s="17"/>
    </x:row>
    <x:row r="13">
      <x:c r="A13" s="12" t="str">
        <x:v>Discount rate</x:v>
      </x:c>
      <x:c r="B13" s="14" t="n">
        <x:v>0.1</x:v>
      </x:c>
      <x:c r="C13" s="17"/>
    </x:row>
    <x:row r="14">
      <x:c r="A14" s="12" t="str">
        <x:v>Discount amount</x:v>
      </x:c>
      <x:c r="B14" s="13" t="n">
        <x:f>B12*B13</x:f>
        <x:v>168</x:v>
      </x:c>
      <x:c r="C14" s="17"/>
    </x:row>
    <x:row r="15">
      <x:c r="A15" s="12" t="str">
        <x:v>Taxable amount</x:v>
      </x:c>
      <x:c r="B15" s="13" t="n">
        <x:f>B12-B14</x:f>
        <x:v>1512</x:v>
      </x:c>
      <x:c r="C15" s="17"/>
    </x:row>
    <x:row r="16">
      <x:c r="A16" s="12" t="str">
        <x:v>Tax rate</x:v>
      </x:c>
      <x:c r="B16" s="15" t="n">
        <x:v>0.0825</x:v>
      </x:c>
      <x:c r="C16" s="17"/>
    </x:row>
    <x:row r="17">
      <x:c r="A17" s="12" t="str">
        <x:v>Tax amount</x:v>
      </x:c>
      <x:c r="B17" s="13" t="n">
        <x:f>B15*B16</x:f>
        <x:v>124.74000000000001</x:v>
      </x:c>
      <x:c r="C17" s="17"/>
    </x:row>
    <x:row r="18">
      <x:c r="A18" s="12" t="str">
        <x:v>Freight</x:v>
      </x:c>
      <x:c r="B18" s="13" t="n">
        <x:v>45</x:v>
      </x:c>
      <x:c r="C18" s="17"/>
    </x:row>
    <x:row r="19">
      <x:c r="A19" s="12" t="str">
        <x:v>Total payable</x:v>
      </x:c>
      <x:c r="B19" s="13" t="n">
        <x:f>B15+B17+B18</x:f>
        <x:v>1681.74</x:v>
      </x:c>
      <x:c r="C19" s="17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4" hidden="0" customWidth="1"/>
    <x:col min="4" max="4" width="17" hidden="0" customWidth="1"/>
    <x:col min="5" max="5" width="17" hidden="0" customWidth="1"/>
    <x:col min="6" max="6" width="15" hidden="0" customWidth="1"/>
    <x:col min="7" max="7" width="36" hidden="0" customWidth="1"/>
  </x:cols>
  <x:sheetData>
    <x:row r="1" ht="26" customHeight="1">
      <x:c r="A1" s="16" t="str">
        <x:v>Invoice Line-item Extraction</x:v>
      </x:c>
      <x:c r="B1" s="16"/>
      <x:c r="C1" s="16"/>
      <x:c r="D1" s="16"/>
      <x:c r="E1" s="16"/>
      <x:c r="F1" s="16"/>
      <x:c r="G1" s="16"/>
    </x:row>
    <x:row r="2">
      <x:c r="A2" s="17"/>
      <x:c r="B2" s="17"/>
      <x:c r="C2" s="17"/>
      <x:c r="D2" s="17"/>
      <x:c r="E2" s="17"/>
      <x:c r="F2" s="17"/>
      <x:c r="G2" s="17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Line total</x:v>
      </x:c>
      <x:c r="F3" s="9" t="str">
        <x:v>Source page</x:v>
      </x:c>
      <x:c r="G3" s="9" t="str">
        <x:v>Text locator</x:v>
      </x:c>
    </x:row>
    <x:row r="4">
      <x:c r="A4" s="12" t="str">
        <x:v>INV-2048-01</x:v>
      </x:c>
      <x:c r="B4" s="12" t="str">
        <x:v>Thermal valve kit</x:v>
      </x:c>
      <x:c r="C4" s="12" t="n">
        <x:v>4</x:v>
      </x:c>
      <x:c r="D4" s="13" t="n">
        <x:v>180</x:v>
      </x:c>
      <x:c r="E4" s="13" t="n">
        <x:f>C4*D4</x:f>
        <x:v>720</x:v>
      </x:c>
      <x:c r="F4" s="12" t="n">
        <x:v>1</x:v>
      </x:c>
      <x:c r="G4" s="12" t="str">
        <x:v>invoice_multipage.pdf:p1:item-1</x:v>
      </x:c>
    </x:row>
    <x:row r="5">
      <x:c r="A5" s="12" t="str">
        <x:v>INV-2048-02</x:v>
      </x:c>
      <x:c r="B5" s="12" t="str">
        <x:v>Pressure sensor</x:v>
      </x:c>
      <x:c r="C5" s="12" t="n">
        <x:v>3</x:v>
      </x:c>
      <x:c r="D5" s="13" t="n">
        <x:v>140</x:v>
      </x:c>
      <x:c r="E5" s="13" t="n">
        <x:f>C5*D5</x:f>
        <x:v>420</x:v>
      </x:c>
      <x:c r="F5" s="12" t="n">
        <x:v>1</x:v>
      </x:c>
      <x:c r="G5" s="12" t="str">
        <x:v>invoice_multipage.pdf:p1:item-2</x:v>
      </x:c>
    </x:row>
    <x:row r="6">
      <x:c r="A6" s="12" t="str">
        <x:v>INV-2048-03</x:v>
      </x:c>
      <x:c r="B6" s="12" t="str">
        <x:v>Field commissioning</x:v>
      </x:c>
      <x:c r="C6" s="12" t="n">
        <x:v>1</x:v>
      </x:c>
      <x:c r="D6" s="13" t="n">
        <x:v>240</x:v>
      </x:c>
      <x:c r="E6" s="13" t="n">
        <x:f>C6*D6</x:f>
        <x:v>240</x:v>
      </x:c>
      <x:c r="F6" s="12" t="n">
        <x:v>1</x:v>
      </x:c>
      <x:c r="G6" s="12" t="str">
        <x:v>invoice_multipage.pdf:p1:item-3</x:v>
      </x:c>
    </x:row>
    <x:row r="7">
      <x:c r="A7" s="12" t="str">
        <x:v>INV-2048-04</x:v>
      </x:c>
      <x:c r="B7" s="12" t="str">
        <x:v>Calibration certificate</x:v>
      </x:c>
      <x:c r="C7" s="12" t="n">
        <x:v>1</x:v>
      </x:c>
      <x:c r="D7" s="13" t="n">
        <x:v>300</x:v>
      </x:c>
      <x:c r="E7" s="13" t="n">
        <x:f>C7*D7</x:f>
        <x:v>300</x:v>
      </x:c>
      <x:c r="F7" s="12" t="n">
        <x:v>2</x:v>
      </x:c>
      <x:c r="G7" s="12" t="str">
        <x:v>invoice_multipage.pdf:p2:item-4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38" hidden="0" customWidth="1"/>
    <x:col min="5" max="5" width="18" hidden="0" customWidth="1"/>
  </x:cols>
  <x:sheetData>
    <x:row r="1" ht="26" customHeight="1">
      <x:c r="A1" s="16" t="str">
        <x:v>Invoice Source Traceability</x:v>
      </x:c>
      <x:c r="B1" s="16"/>
      <x:c r="C1" s="16"/>
      <x:c r="D1" s="16"/>
      <x:c r="E1" s="16"/>
    </x:row>
    <x:row r="2">
      <x:c r="A2" s="17"/>
      <x:c r="B2" s="17"/>
      <x:c r="C2" s="17"/>
      <x:c r="D2" s="17"/>
      <x:c r="E2" s="17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INV-2048-01</x:v>
      </x:c>
      <x:c r="B4" s="12" t="str">
        <x:v>invoice_multipage.pdf</x:v>
      </x:c>
      <x:c r="C4" s="12" t="n">
        <x:v>1</x:v>
      </x:c>
      <x:c r="D4" s="12" t="str">
        <x:v>invoice_multipage.pdf:p1:item-1</x:v>
      </x:c>
      <x:c r="E4" s="12" t="str">
        <x:v>Line_Items!4</x:v>
      </x:c>
    </x:row>
    <x:row r="5">
      <x:c r="A5" s="12" t="str">
        <x:v>INV-2048-02</x:v>
      </x:c>
      <x:c r="B5" s="12" t="str">
        <x:v>invoice_multipage.pdf</x:v>
      </x:c>
      <x:c r="C5" s="12" t="n">
        <x:v>1</x:v>
      </x:c>
      <x:c r="D5" s="12" t="str">
        <x:v>invoice_multipage.pdf:p1:item-2</x:v>
      </x:c>
      <x:c r="E5" s="12" t="str">
        <x:v>Line_Items!5</x:v>
      </x:c>
    </x:row>
    <x:row r="6">
      <x:c r="A6" s="12" t="str">
        <x:v>INV-2048-03</x:v>
      </x:c>
      <x:c r="B6" s="12" t="str">
        <x:v>invoice_multipage.pdf</x:v>
      </x:c>
      <x:c r="C6" s="12" t="n">
        <x:v>1</x:v>
      </x:c>
      <x:c r="D6" s="12" t="str">
        <x:v>invoice_multipage.pdf:p1:item-3</x:v>
      </x:c>
      <x:c r="E6" s="12" t="str">
        <x:v>Line_Items!6</x:v>
      </x:c>
    </x:row>
    <x:row r="7">
      <x:c r="A7" s="12" t="str">
        <x:v>INV-2048-04</x:v>
      </x:c>
      <x:c r="B7" s="12" t="str">
        <x:v>invoice_multipage.pdf</x:v>
      </x:c>
      <x:c r="C7" s="12" t="n">
        <x:v>1</x:v>
      </x:c>
      <x:c r="D7" s="12" t="str">
        <x:v>invoice_multipage.pdf:p2:item-4</x:v>
      </x:c>
      <x:c r="E7" s="12" t="str">
        <x:v>Line_Items!7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6" t="str">
        <x:v>Invoice Completeness and Calculation Checks</x:v>
      </x:c>
      <x:c r="B1" s="16"/>
      <x:c r="C1" s="16"/>
      <x:c r="D1" s="16"/>
    </x:row>
    <x:row r="2">
      <x:c r="A2" s="17"/>
      <x:c r="B2" s="17"/>
      <x:c r="C2" s="17"/>
      <x:c r="D2" s="17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Extracted line items</x:v>
      </x:c>
      <x:c r="B4" s="12" t="n">
        <x:f>1+1+1+1</x:f>
        <x:v>4</x:v>
      </x:c>
      <x:c r="C4" s="12" t="n">
        <x:v>4</x:v>
      </x:c>
      <x:c r="D4" s="12" t="str">
        <x:v>All invoice rows retained</x:v>
      </x:c>
    </x:row>
    <x:row r="5">
      <x:c r="A5" s="12" t="str">
        <x:v>Payable total</x:v>
      </x:c>
      <x:c r="B5" s="13" t="n">
        <x:f>'Invoice_Header'!B19</x:f>
        <x:v>1681.74</x:v>
      </x:c>
      <x:c r="C5" s="13" t="n">
        <x:v>1681.74</x:v>
      </x:c>
      <x:c r="D5" s="12" t="str">
        <x:v>Discount, tax, and freight included</x:v>
      </x:c>
    </x:row>
    <x:row r="6">
      <x:c r="A6" s="12" t="str">
        <x:v>Provenance rows</x:v>
      </x:c>
      <x:c r="B6" s="12" t="n">
        <x:f>1+1+1+1</x:f>
        <x:v>4</x:v>
      </x:c>
      <x:c r="C6" s="12" t="n">
        <x:v>4</x:v>
      </x:c>
      <x:c r="D6" s="12" t="str">
        <x:v>Every line item has a page locator</x:v>
      </x:c>
    </x:row>
  </x:sheetData>
  <x:mergeCells>
    <x:mergeCell ref="A1:D1"/>
  </x:mergeCells>
  <x:pageMargins left="0.7" right="0.7" top="0.75" bottom="0.75" header="0.3" footer="0.3"/>
</x:worksheet>
</file>