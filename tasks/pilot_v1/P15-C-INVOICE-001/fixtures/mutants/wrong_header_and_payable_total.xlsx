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oice_Header" sheetId="1" state="visible" r:id="rId1"/>
    <sheet xmlns:r="http://schemas.openxmlformats.org/officeDocument/2006/relationships" name="Line_Items" sheetId="2" state="visible" r:id="rId2"/>
    <sheet xmlns:r="http://schemas.openxmlformats.org/officeDocument/2006/relationships" name="Provenance" sheetId="3" state="visible" r:id="rId3"/>
    <sheet xmlns:r="http://schemas.openxmlformats.org/officeDocument/2006/relationships" name="Checks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0" customWidth="1" min="3" max="3"/>
  </cols>
  <sheetData>
    <row r="1" ht="26" customHeight="1">
      <c r="A1" s="16" t="inlineStr">
        <is>
          <t>Accounts-Payable Invoice Header</t>
        </is>
      </c>
    </row>
    <row r="2">
      <c r="A2" s="17" t="n"/>
      <c r="B2" s="17" t="n"/>
      <c r="C2" s="17" t="n"/>
    </row>
    <row r="3">
      <c r="A3" s="9" t="inlineStr">
        <is>
          <t>Field</t>
        </is>
      </c>
      <c r="B3" s="9" t="inlineStr">
        <is>
          <t>Value</t>
        </is>
      </c>
      <c r="C3" s="17" t="n"/>
    </row>
    <row r="4">
      <c r="A4" s="12" t="inlineStr">
        <is>
          <t>Vendor</t>
        </is>
      </c>
      <c r="B4" s="12" t="inlineStr">
        <is>
          <t>Alder &amp; Finch Supply</t>
        </is>
      </c>
      <c r="C4" s="17" t="n"/>
    </row>
    <row r="5">
      <c r="A5" s="12" t="inlineStr">
        <is>
          <t>Invoice ID</t>
        </is>
      </c>
      <c r="B5" s="12" t="inlineStr">
        <is>
          <t>INV-2048X</t>
        </is>
      </c>
      <c r="C5" s="17" t="n"/>
    </row>
    <row r="6">
      <c r="A6" s="12" t="inlineStr">
        <is>
          <t>Invoice date</t>
        </is>
      </c>
      <c r="B6" s="12" t="inlineStr">
        <is>
          <t>2026-06-18</t>
        </is>
      </c>
      <c r="C6" s="17" t="n"/>
    </row>
    <row r="7">
      <c r="A7" s="12" t="inlineStr">
        <is>
          <t>Customer</t>
        </is>
      </c>
      <c r="B7" s="12" t="inlineStr">
        <is>
          <t>Northstar Operations</t>
        </is>
      </c>
      <c r="C7" s="17" t="n"/>
    </row>
    <row r="8">
      <c r="A8" s="12" t="inlineStr">
        <is>
          <t>Currency</t>
        </is>
      </c>
      <c r="B8" s="12" t="inlineStr">
        <is>
          <t>USD</t>
        </is>
      </c>
      <c r="C8" s="17" t="n"/>
    </row>
    <row r="9">
      <c r="A9" s="12" t="inlineStr">
        <is>
          <t>PO reference</t>
        </is>
      </c>
      <c r="B9" s="12" t="inlineStr">
        <is>
          <t>PO-7194</t>
        </is>
      </c>
      <c r="C9" s="17" t="n"/>
    </row>
    <row r="10">
      <c r="A10" s="17" t="n"/>
      <c r="B10" s="17" t="n"/>
      <c r="C10" s="17" t="n"/>
    </row>
    <row r="11">
      <c r="A11" s="9" t="inlineStr">
        <is>
          <t>Calculation</t>
        </is>
      </c>
      <c r="B11" s="9" t="inlineStr">
        <is>
          <t>Value</t>
        </is>
      </c>
      <c r="C11" s="17" t="n"/>
    </row>
    <row r="12">
      <c r="A12" s="12" t="inlineStr">
        <is>
          <t>Line-item subtotal</t>
        </is>
      </c>
      <c r="B12" s="18">
        <f>SUM('Line_Items'!E4:E7)</f>
        <v/>
      </c>
      <c r="C12" s="17" t="n"/>
    </row>
    <row r="13">
      <c r="A13" s="12" t="inlineStr">
        <is>
          <t>Discount rate</t>
        </is>
      </c>
      <c r="B13" s="19" t="n">
        <v>0.1</v>
      </c>
      <c r="C13" s="17" t="n"/>
    </row>
    <row r="14">
      <c r="A14" s="12" t="inlineStr">
        <is>
          <t>Discount amount</t>
        </is>
      </c>
      <c r="B14" s="18">
        <f>B12*B13</f>
        <v/>
      </c>
      <c r="C14" s="17" t="n"/>
    </row>
    <row r="15">
      <c r="A15" s="12" t="inlineStr">
        <is>
          <t>Taxable amount</t>
        </is>
      </c>
      <c r="B15" s="18">
        <f>B12-B14</f>
        <v/>
      </c>
      <c r="C15" s="17" t="n"/>
    </row>
    <row r="16">
      <c r="A16" s="12" t="inlineStr">
        <is>
          <t>Tax rate</t>
        </is>
      </c>
      <c r="B16" s="20" t="n">
        <v>0.0825</v>
      </c>
      <c r="C16" s="17" t="n"/>
    </row>
    <row r="17">
      <c r="A17" s="12" t="inlineStr">
        <is>
          <t>Tax amount</t>
        </is>
      </c>
      <c r="B17" s="18">
        <f>B15*B16</f>
        <v/>
      </c>
      <c r="C17" s="17" t="n"/>
    </row>
    <row r="18">
      <c r="A18" s="12" t="inlineStr">
        <is>
          <t>Freight</t>
        </is>
      </c>
      <c r="B18" s="18" t="n">
        <v>45</v>
      </c>
      <c r="C18" s="17" t="n"/>
    </row>
    <row r="19">
      <c r="A19" s="12" t="inlineStr">
        <is>
          <t>Total payable</t>
        </is>
      </c>
      <c r="B19" s="18" t="n">
        <v>1559.71</v>
      </c>
      <c r="C19" s="17" t="n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7" customWidth="1" min="4" max="4"/>
    <col width="17" customWidth="1" min="5" max="5"/>
    <col width="15" customWidth="1" min="6" max="6"/>
    <col width="36" customWidth="1" min="7" max="7"/>
  </cols>
  <sheetData>
    <row r="1" ht="26" customHeight="1">
      <c r="A1" s="16" t="inlineStr">
        <is>
          <t>Invoice Line-item Extraction</t>
        </is>
      </c>
    </row>
    <row r="2">
      <c r="A2" s="17" t="n"/>
      <c r="B2" s="17" t="n"/>
      <c r="C2" s="17" t="n"/>
      <c r="D2" s="17" t="n"/>
      <c r="E2" s="17" t="n"/>
      <c r="F2" s="17" t="n"/>
      <c r="G2" s="17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Quantity</t>
        </is>
      </c>
      <c r="D3" s="9" t="inlineStr">
        <is>
          <t>Unit price</t>
        </is>
      </c>
      <c r="E3" s="9" t="inlineStr">
        <is>
          <t>Line total</t>
        </is>
      </c>
      <c r="F3" s="9" t="inlineStr">
        <is>
          <t>Source page</t>
        </is>
      </c>
      <c r="G3" s="9" t="inlineStr">
        <is>
          <t>Text locator</t>
        </is>
      </c>
    </row>
    <row r="4">
      <c r="A4" s="12" t="inlineStr">
        <is>
          <t>INV-2048-01</t>
        </is>
      </c>
      <c r="B4" s="12" t="inlineStr">
        <is>
          <t>Thermal valve kit</t>
        </is>
      </c>
      <c r="C4" s="12" t="n">
        <v>4</v>
      </c>
      <c r="D4" s="18" t="n">
        <v>180</v>
      </c>
      <c r="E4" s="18">
        <f>C4*D4</f>
        <v/>
      </c>
      <c r="F4" s="12" t="n">
        <v>1</v>
      </c>
      <c r="G4" s="12" t="inlineStr">
        <is>
          <t>invoice_multipage.pdf:p1:item-1</t>
        </is>
      </c>
    </row>
    <row r="5">
      <c r="A5" s="12" t="inlineStr">
        <is>
          <t>INV-2048-02</t>
        </is>
      </c>
      <c r="B5" s="12" t="inlineStr">
        <is>
          <t>Pressure sensor</t>
        </is>
      </c>
      <c r="C5" s="12" t="n">
        <v>3</v>
      </c>
      <c r="D5" s="18" t="n">
        <v>140</v>
      </c>
      <c r="E5" s="18">
        <f>C5*D5</f>
        <v/>
      </c>
      <c r="F5" s="12" t="n">
        <v>1</v>
      </c>
      <c r="G5" s="12" t="inlineStr">
        <is>
          <t>invoice_multipage.pdf:p1:item-2</t>
        </is>
      </c>
    </row>
    <row r="6">
      <c r="A6" s="12" t="inlineStr">
        <is>
          <t>INV-2048-03</t>
        </is>
      </c>
      <c r="B6" s="12" t="inlineStr">
        <is>
          <t>Field commissioning</t>
        </is>
      </c>
      <c r="C6" s="12" t="n">
        <v>1</v>
      </c>
      <c r="D6" s="18" t="n">
        <v>240</v>
      </c>
      <c r="E6" s="18">
        <f>C6*D6</f>
        <v/>
      </c>
      <c r="F6" s="12" t="n">
        <v>1</v>
      </c>
      <c r="G6" s="12" t="inlineStr">
        <is>
          <t>invoice_multipage.pdf:p1:item-3</t>
        </is>
      </c>
    </row>
    <row r="7">
      <c r="A7" s="12" t="inlineStr">
        <is>
          <t>INV-2048-04</t>
        </is>
      </c>
      <c r="B7" s="12" t="inlineStr">
        <is>
          <t>Calibration certificate</t>
        </is>
      </c>
      <c r="C7" s="12" t="n">
        <v>1</v>
      </c>
      <c r="D7" s="18" t="n">
        <v>300</v>
      </c>
      <c r="E7" s="18">
        <f>C7*D7</f>
        <v/>
      </c>
      <c r="F7" s="12" t="n">
        <v>2</v>
      </c>
      <c r="G7" s="12" t="inlineStr">
        <is>
          <t>invoice_multipage.pdf:p2:item-4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38" customWidth="1" min="4" max="4"/>
    <col width="18" customWidth="1" min="5" max="5"/>
  </cols>
  <sheetData>
    <row r="1" ht="26" customHeight="1">
      <c r="A1" s="16" t="inlineStr">
        <is>
          <t>Invoice Source Traceability</t>
        </is>
      </c>
    </row>
    <row r="2">
      <c r="A2" s="17" t="n"/>
      <c r="B2" s="17" t="n"/>
      <c r="C2" s="17" t="n"/>
      <c r="D2" s="17" t="n"/>
      <c r="E2" s="17" t="n"/>
    </row>
    <row r="3">
      <c r="A3" s="9" t="inlineStr">
        <is>
          <t>Line ID</t>
        </is>
      </c>
      <c r="B3" s="9" t="inlineStr">
        <is>
          <t>Source document</t>
        </is>
      </c>
      <c r="C3" s="9" t="inlineStr">
        <is>
          <t>Page</t>
        </is>
      </c>
      <c r="D3" s="9" t="inlineStr">
        <is>
          <t>Text locator</t>
        </is>
      </c>
      <c r="E3" s="9" t="inlineStr">
        <is>
          <t>Target row</t>
        </is>
      </c>
    </row>
    <row r="4">
      <c r="A4" s="12" t="inlineStr">
        <is>
          <t>INV-2048-01</t>
        </is>
      </c>
      <c r="B4" s="12" t="inlineStr">
        <is>
          <t>invoice_multipage.pdf</t>
        </is>
      </c>
      <c r="C4" s="12" t="n">
        <v>1</v>
      </c>
      <c r="D4" s="12" t="inlineStr">
        <is>
          <t>invoice_multipage.pdf:p1:item-1</t>
        </is>
      </c>
      <c r="E4" s="12" t="inlineStr">
        <is>
          <t>Line_Items!4</t>
        </is>
      </c>
    </row>
    <row r="5">
      <c r="A5" s="12" t="inlineStr">
        <is>
          <t>INV-2048-02</t>
        </is>
      </c>
      <c r="B5" s="12" t="inlineStr">
        <is>
          <t>invoice_multipage.pdf</t>
        </is>
      </c>
      <c r="C5" s="12" t="n">
        <v>1</v>
      </c>
      <c r="D5" s="12" t="inlineStr">
        <is>
          <t>invoice_multipage.pdf:p1:item-2</t>
        </is>
      </c>
      <c r="E5" s="12" t="inlineStr">
        <is>
          <t>Line_Items!5</t>
        </is>
      </c>
    </row>
    <row r="6">
      <c r="A6" s="12" t="inlineStr">
        <is>
          <t>INV-2048-03</t>
        </is>
      </c>
      <c r="B6" s="12" t="inlineStr">
        <is>
          <t>invoice_multipage.pdf</t>
        </is>
      </c>
      <c r="C6" s="12" t="n">
        <v>1</v>
      </c>
      <c r="D6" s="12" t="inlineStr">
        <is>
          <t>invoice_multipage.pdf:p1:item-3</t>
        </is>
      </c>
      <c r="E6" s="12" t="inlineStr">
        <is>
          <t>Line_Items!6</t>
        </is>
      </c>
    </row>
    <row r="7">
      <c r="A7" s="12" t="inlineStr">
        <is>
          <t>INV-2048-04</t>
        </is>
      </c>
      <c r="B7" s="12" t="inlineStr">
        <is>
          <t>invoice_multipage.pdf</t>
        </is>
      </c>
      <c r="C7" s="12" t="n">
        <v>2</v>
      </c>
      <c r="D7" s="12" t="inlineStr">
        <is>
          <t>invoice_multipage.pdf:p2:item-4</t>
        </is>
      </c>
      <c r="E7" s="12" t="inlineStr">
        <is>
          <t>Line_Items!7</t>
        </is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39" customWidth="1" min="4" max="4"/>
  </cols>
  <sheetData>
    <row r="1" ht="26" customHeight="1">
      <c r="A1" s="16" t="inlineStr">
        <is>
          <t>Invoice Completeness and Calculation Checks</t>
        </is>
      </c>
    </row>
    <row r="2">
      <c r="A2" s="17" t="n"/>
      <c r="B2" s="17" t="n"/>
      <c r="C2" s="17" t="n"/>
      <c r="D2" s="17" t="n"/>
    </row>
    <row r="3">
      <c r="A3" s="9" t="inlineStr">
        <is>
          <t>Check</t>
        </is>
      </c>
      <c r="B3" s="9" t="inlineStr">
        <is>
          <t>Observed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Extracted line items</t>
        </is>
      </c>
      <c r="B4" s="12">
        <f>1+1+1+1</f>
        <v/>
      </c>
      <c r="C4" s="12" t="n">
        <v>4</v>
      </c>
      <c r="D4" s="12" t="inlineStr">
        <is>
          <t>All invoice rows retained</t>
        </is>
      </c>
    </row>
    <row r="5">
      <c r="A5" s="12" t="inlineStr">
        <is>
          <t>Payable total</t>
        </is>
      </c>
      <c r="B5" s="18">
        <f>'Invoice_Header'!B19</f>
        <v/>
      </c>
      <c r="C5" s="18" t="n">
        <v>1681.74</v>
      </c>
      <c r="D5" s="12" t="inlineStr">
        <is>
          <t>Discount, tax, and freight included</t>
        </is>
      </c>
    </row>
    <row r="6">
      <c r="A6" s="12" t="inlineStr">
        <is>
          <t>Provenance rows</t>
        </is>
      </c>
      <c r="B6" s="12">
        <f>1+1+1+1</f>
        <v/>
      </c>
      <c r="C6" s="12" t="n">
        <v>4</v>
      </c>
      <c r="D6" s="12" t="inlineStr">
        <is>
          <t>Every line item has a page locator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2026-08-30T11:33:57Z</dcterms:created>
  <dcterms:modified xmlns:dcterms="http://purl.org/dc/terms/" xmlns:xsi="http://www.w3.org/2001/XMLSchema-instance" xsi:type="dcterms:W3CDTF">2026-08-30T11:33:57Z</dcterms:modified>
</cp:coreProperties>
</file>