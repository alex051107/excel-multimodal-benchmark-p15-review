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08e08473e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22d74a0b97c4151"/>
    <x:sheet xmlns:r="http://schemas.openxmlformats.org/officeDocument/2006/relationships" name="Plan" sheetId="2" r:id="R0653b6f3790649a0"/>
    <x:sheet xmlns:r="http://schemas.openxmlformats.org/officeDocument/2006/relationships" name="Analysis" sheetId="3" r:id="R9197c69d2ad64131"/>
    <x:sheet xmlns:r="http://schemas.openxmlformats.org/officeDocument/2006/relationships" name="Results" sheetId="4" r:id="R1cd9722d2fd44527"/>
    <x:sheet xmlns:r="http://schemas.openxmlformats.org/officeDocument/2006/relationships" name="Visualization" sheetId="5" r:id="R69364d17a1074e9e"/>
    <x:sheet xmlns:r="http://schemas.openxmlformats.org/officeDocument/2006/relationships" name="Checks" sheetId="6" r:id="R9047b1497e50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914556963487f" /><Relationship Type="http://schemas.openxmlformats.org/officeDocument/2006/relationships/theme" Target="/xl/theme/theme1.xml" Id="Rf6cb1cf6859f4714" /><Relationship Type="http://schemas.openxmlformats.org/officeDocument/2006/relationships/sharedStrings" Target="/xl/sharedStrings.xml" Id="R7eea62151b5e41ee" /><Relationship Type="http://schemas.openxmlformats.org/officeDocument/2006/relationships/worksheet" Target="/xl/worksheets/sheet1.xml" Id="Rf22d74a0b97c4151" /><Relationship Type="http://schemas.openxmlformats.org/officeDocument/2006/relationships/worksheet" Target="/xl/worksheets/sheet2.xml" Id="R0653b6f3790649a0" /><Relationship Type="http://schemas.openxmlformats.org/officeDocument/2006/relationships/worksheet" Target="/xl/worksheets/sheet3.xml" Id="R9197c69d2ad64131" /><Relationship Type="http://schemas.openxmlformats.org/officeDocument/2006/relationships/worksheet" Target="/xl/worksheets/sheet4.xml" Id="R1cd9722d2fd44527" /><Relationship Type="http://schemas.openxmlformats.org/officeDocument/2006/relationships/worksheet" Target="/xl/worksheets/sheet5.xml" Id="R69364d17a1074e9e" /><Relationship Type="http://schemas.openxmlformats.org/officeDocument/2006/relationships/worksheet" Target="/xl/worksheets/sheet6.xml" Id="R9047b1497e504a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4d0fa40bc449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4d0fa40bc449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a8ca563aa1647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n">
        <x:f>IF(E13="Yes",D13,"")</x:f>
        <x:v>1.4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/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/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/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/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/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/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/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/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/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/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/>
      <x:c r="C4" s="15"/>
      <x:c r="D4" s="15" t="str">
        <x:v>Analysis mean</x:v>
      </x:c>
    </x:row>
    <x:row r="5">
      <x:c r="A5" s="15" t="str">
        <x:v>95% CI lower</x:v>
      </x:c>
      <x:c r="B5" s="17"/>
      <x:c r="C5" s="15"/>
      <x:c r="D5" s="15" t="str">
        <x:v>Mean - t critical × SE</x:v>
      </x:c>
    </x:row>
    <x:row r="6">
      <x:c r="A6" s="15" t="str">
        <x:v>95% CI upper</x:v>
      </x:c>
      <x:c r="B6" s="17"/>
      <x:c r="C6" s="15"/>
      <x:c r="D6" s="15" t="str">
        <x:v>Mean + t critical × SE</x:v>
      </x:c>
    </x:row>
    <x:row r="7">
      <x:c r="A7" s="15" t="str">
        <x:v>t statistic</x:v>
      </x:c>
      <x:c r="B7" s="17"/>
      <x:c r="C7" s="15"/>
      <x:c r="D7" s="15" t="str">
        <x:v>Paired differences</x:v>
      </x:c>
    </x:row>
    <x:row r="8">
      <x:c r="A8" s="15" t="str">
        <x:v>Conclusion</x:v>
      </x:c>
      <x:c r="B8" s="15"/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0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'Data'!D4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'Data'!D5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'Data'!D6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'Data'!D7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'Data'!D8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'Data'!D9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'Data'!D10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'Data'!D11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'Data'!D12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'Data'!D13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a8ca563aa1647f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0</x:v>
      </x:c>
      <x:c r="C5" s="15" t="n">
        <x:v>9</x:v>
      </x:c>
      <x:c r="D5" s="15" t="str">
        <x:f>IF(B5=C5,"PASS","CHECK")</x:f>
        <x:v>CHECK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