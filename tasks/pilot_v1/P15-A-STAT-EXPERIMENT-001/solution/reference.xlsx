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d6292618a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92819f0df6c4b9d"/>
    <x:sheet xmlns:r="http://schemas.openxmlformats.org/officeDocument/2006/relationships" name="Plan" sheetId="2" r:id="R2d7b8e5080d94eda"/>
    <x:sheet xmlns:r="http://schemas.openxmlformats.org/officeDocument/2006/relationships" name="Analysis" sheetId="3" r:id="Rd5e1d6e27d8444af"/>
    <x:sheet xmlns:r="http://schemas.openxmlformats.org/officeDocument/2006/relationships" name="Results" sheetId="4" r:id="R717bcb5ea85a4e89"/>
    <x:sheet xmlns:r="http://schemas.openxmlformats.org/officeDocument/2006/relationships" name="Visualization" sheetId="5" r:id="R489d5cd3d7af41a7"/>
    <x:sheet xmlns:r="http://schemas.openxmlformats.org/officeDocument/2006/relationships" name="Checks" sheetId="6" r:id="R34db1a52522c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c029c1bf3476d" /><Relationship Type="http://schemas.openxmlformats.org/officeDocument/2006/relationships/theme" Target="/xl/theme/theme1.xml" Id="Rf683e3bdfcbf4454" /><Relationship Type="http://schemas.openxmlformats.org/officeDocument/2006/relationships/sharedStrings" Target="/xl/sharedStrings.xml" Id="R92fee90eb4e64b43" /><Relationship Type="http://schemas.openxmlformats.org/officeDocument/2006/relationships/worksheet" Target="/xl/worksheets/sheet1.xml" Id="R092819f0df6c4b9d" /><Relationship Type="http://schemas.openxmlformats.org/officeDocument/2006/relationships/worksheet" Target="/xl/worksheets/sheet2.xml" Id="R2d7b8e5080d94eda" /><Relationship Type="http://schemas.openxmlformats.org/officeDocument/2006/relationships/worksheet" Target="/xl/worksheets/sheet3.xml" Id="Rd5e1d6e27d8444af" /><Relationship Type="http://schemas.openxmlformats.org/officeDocument/2006/relationships/worksheet" Target="/xl/worksheets/sheet4.xml" Id="R717bcb5ea85a4e89" /><Relationship Type="http://schemas.openxmlformats.org/officeDocument/2006/relationships/worksheet" Target="/xl/worksheets/sheet5.xml" Id="R489d5cd3d7af41a7" /><Relationship Type="http://schemas.openxmlformats.org/officeDocument/2006/relationships/worksheet" Target="/xl/worksheets/sheet6.xml" Id="R34db1a52522c4e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a0aabd56cf41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a0aabd56cf41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bef0709c4bd4d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 t="n">
        <x:f>COUNT('Data'!H4:H13)</x:f>
        <x:v>10</x:v>
      </x:c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 t="n">
        <x:f>AVERAGE('Data'!H4:H13)</x:f>
        <x:v>1.58</x:v>
      </x:c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 t="n">
        <x:f>STDEV.S('Data'!H4:H13)</x:f>
        <x:v>1.2299954832798732</x:v>
      </x:c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 t="n">
        <x:f>B6/SQRT(B4)</x:f>
        <x:v>0.3889587238883952</x:v>
      </x:c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 t="n">
        <x:f>B5/B7</x:f>
        <x:v>4.062127683382037</x:v>
      </x:c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 t="n">
        <x:f>B4-1</x:f>
        <x:v>9</x:v>
      </x:c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 t="e">
        <x:f>T.DIST.2T(ABS(B8),B9)</x:f>
        <x:v>FDe._2T is not a function</x:v>
      </x:c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 t="e">
        <x:f>B5-T.INV.2T(0.05,B9)*B7</x:f>
        <x:v>i is not a function</x:v>
      </x:c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 t="e">
        <x:f>B5+T.INV.2T(0.05,B9)*B7</x:f>
        <x:v>i is not a function</x:v>
      </x:c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 t="n">
        <x:f>'Analysis'!B5</x:f>
        <x:v>1.58</x:v>
      </x:c>
      <x:c r="C4" s="15"/>
      <x:c r="D4" s="15" t="str">
        <x:v>Analysis mean</x:v>
      </x:c>
    </x:row>
    <x:row r="5">
      <x:c r="A5" s="15" t="str">
        <x:v>95% CI lower</x:v>
      </x:c>
      <x:c r="B5" s="17" t="e">
        <x:f>'Analysis'!B11</x:f>
        <x:v>i is not a function</x:v>
      </x:c>
      <x:c r="C5" s="15"/>
      <x:c r="D5" s="15" t="str">
        <x:v>Mean - t critical × SE</x:v>
      </x:c>
    </x:row>
    <x:row r="6">
      <x:c r="A6" s="15" t="str">
        <x:v>95% CI upper</x:v>
      </x:c>
      <x:c r="B6" s="17" t="e">
        <x:f>'Analysis'!B12</x:f>
        <x:v>i is not a function</x:v>
      </x:c>
      <x:c r="C6" s="15"/>
      <x:c r="D6" s="15" t="str">
        <x:v>Mean + t critical × SE</x:v>
      </x:c>
    </x:row>
    <x:row r="7">
      <x:c r="A7" s="15" t="str">
        <x:v>t statistic</x:v>
      </x:c>
      <x:c r="B7" s="17" t="n">
        <x:f>'Analysis'!B8</x:f>
        <x:v>4.062127683382037</x:v>
      </x:c>
      <x:c r="C7" s="15"/>
      <x:c r="D7" s="15" t="str">
        <x:v>Paired differences</x:v>
      </x:c>
    </x:row>
    <x:row r="8">
      <x:c r="A8" s="15" t="str">
        <x:v>Conclusion</x:v>
      </x:c>
      <x:c r="B8" s="15" t="e">
        <x:f>IF('Analysis'!B10&lt;0.05,"Reject H0: paired effect detected","Do not reject H0")</x:f>
        <x:v>#VALUE!</x:v>
      </x:c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bef0709c4bd4d3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9</x:v>
      </x:c>
      <x:c r="C5" s="15" t="n">
        <x:v>9</x:v>
      </x:c>
      <x:c r="D5" s="15" t="str">
        <x:f>IF(B5=C5,"PASS","CHECK")</x:f>
        <x:v>PASS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