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a9d37a12f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9867fb00fcc499c"/>
    <x:sheet xmlns:r="http://schemas.openxmlformats.org/officeDocument/2006/relationships" name="Plan" sheetId="2" r:id="R408cb74dfaae4926"/>
    <x:sheet xmlns:r="http://schemas.openxmlformats.org/officeDocument/2006/relationships" name="Analysis" sheetId="3" r:id="Rb5fec606af714591"/>
    <x:sheet xmlns:r="http://schemas.openxmlformats.org/officeDocument/2006/relationships" name="Results" sheetId="4" r:id="R8278f3d3765e45fe"/>
    <x:sheet xmlns:r="http://schemas.openxmlformats.org/officeDocument/2006/relationships" name="Visualization" sheetId="5" r:id="Rcfbcd67614cb4930"/>
    <x:sheet xmlns:r="http://schemas.openxmlformats.org/officeDocument/2006/relationships" name="Checks" sheetId="6" r:id="Re4a208298495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f9c55c05046e8" /><Relationship Type="http://schemas.openxmlformats.org/officeDocument/2006/relationships/theme" Target="/xl/theme/theme1.xml" Id="Rda61e2fbdb1d4348" /><Relationship Type="http://schemas.openxmlformats.org/officeDocument/2006/relationships/sharedStrings" Target="/xl/sharedStrings.xml" Id="R8f1c7b9dfe05474b" /><Relationship Type="http://schemas.openxmlformats.org/officeDocument/2006/relationships/worksheet" Target="/xl/worksheets/sheet1.xml" Id="R59867fb00fcc499c" /><Relationship Type="http://schemas.openxmlformats.org/officeDocument/2006/relationships/worksheet" Target="/xl/worksheets/sheet2.xml" Id="R408cb74dfaae4926" /><Relationship Type="http://schemas.openxmlformats.org/officeDocument/2006/relationships/worksheet" Target="/xl/worksheets/sheet3.xml" Id="Rb5fec606af714591" /><Relationship Type="http://schemas.openxmlformats.org/officeDocument/2006/relationships/worksheet" Target="/xl/worksheets/sheet4.xml" Id="R8278f3d3765e45fe" /><Relationship Type="http://schemas.openxmlformats.org/officeDocument/2006/relationships/worksheet" Target="/xl/worksheets/sheet5.xml" Id="Rcfbcd67614cb4930" /><Relationship Type="http://schemas.openxmlformats.org/officeDocument/2006/relationships/worksheet" Target="/xl/worksheets/sheet6.xml" Id="Re4a20829849547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bea70c83194b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Paired Difference by Subject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Paired difference</c:v>
          </c:tx>
          <c:cat>
            <c:strRef>
              <c:f>'Visualization'!$A$4:$A$13</c:f>
              <c:strCache>
                <c:ptCount val="0"/>
              </c:strCache>
            </c:strRef>
          </c:cat>
          <c:val>
            <c:numRef>
              <c:f>'Visualization'!$B$4:$B$13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bea70c83194ba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dc6744d5701e40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8" hidden="0" customWidth="1"/>
    <x:col min="5" max="5" width="13" hidden="0" customWidth="1"/>
    <x:col min="6" max="6" width="13" hidden="0" customWidth="1"/>
    <x:col min="7" max="7" width="23" hidden="0" customWidth="1"/>
    <x:col min="8" max="8" width="22" hidden="0" customWidth="1"/>
  </x:cols>
  <x:sheetData>
    <x:row r="1" ht="26" customHeight="1">
      <x:c r="A1" s="13" t="str">
        <x:v>Crossover Sleep Study — Paired Observation Data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0" t="str">
        <x:v>Subject</x:v>
      </x:c>
      <x:c r="B3" s="10" t="str">
        <x:v>Group 1 increase</x:v>
      </x:c>
      <x:c r="C3" s="10" t="str">
        <x:v>Group 2 increase</x:v>
      </x:c>
      <x:c r="D3" s="10" t="str">
        <x:v>Paired difference</x:v>
      </x:c>
      <x:c r="E3" s="10" t="str">
        <x:v>Include</x:v>
      </x:c>
      <x:c r="F3" s="10" t="str">
        <x:v>Source row</x:v>
      </x:c>
      <x:c r="G3" s="10" t="str">
        <x:v>Notes</x:v>
      </x:c>
      <x:c r="H3" s="10" t="str">
        <x:v>Analysis-set difference</x:v>
      </x:c>
    </x:row>
    <x:row r="4">
      <x:c r="A4" s="15" t="n">
        <x:v>1</x:v>
      </x:c>
      <x:c r="B4" s="15" t="n">
        <x:v>0.7</x:v>
      </x:c>
      <x:c r="C4" s="15" t="n">
        <x:v>1.9</x:v>
      </x:c>
      <x:c r="D4" s="15" t="n">
        <x:f>C4-B4</x:f>
        <x:v>1.2</x:v>
      </x:c>
      <x:c r="E4" s="15" t="str">
        <x:v>Yes</x:v>
      </x:c>
      <x:c r="F4" s="15" t="n">
        <x:v>1</x:v>
      </x:c>
      <x:c r="G4" s="15" t="str">
        <x:v>paired observation</x:v>
      </x:c>
      <x:c r="H4" s="15" t="n">
        <x:f>IF(E4="Yes",D4,"")</x:f>
        <x:v>1.2</x:v>
      </x:c>
    </x:row>
    <x:row r="5">
      <x:c r="A5" s="15" t="n">
        <x:v>2</x:v>
      </x:c>
      <x:c r="B5" s="15" t="n">
        <x:v>-1.6</x:v>
      </x:c>
      <x:c r="C5" s="15" t="n">
        <x:v>0.8</x:v>
      </x:c>
      <x:c r="D5" s="15" t="n">
        <x:f>C5-B5</x:f>
        <x:v>2.4000000000000004</x:v>
      </x:c>
      <x:c r="E5" s="15" t="str">
        <x:v>Yes</x:v>
      </x:c>
      <x:c r="F5" s="15" t="n">
        <x:v>2</x:v>
      </x:c>
      <x:c r="G5" s="15" t="str">
        <x:v>paired observation</x:v>
      </x:c>
      <x:c r="H5" s="15" t="n">
        <x:f>IF(E5="Yes",D5,"")</x:f>
        <x:v>2.4000000000000004</x:v>
      </x:c>
    </x:row>
    <x:row r="6">
      <x:c r="A6" s="15" t="n">
        <x:v>3</x:v>
      </x:c>
      <x:c r="B6" s="15" t="n">
        <x:v>-0.2</x:v>
      </x:c>
      <x:c r="C6" s="15" t="n">
        <x:v>1.1</x:v>
      </x:c>
      <x:c r="D6" s="15" t="n">
        <x:f>C6-B6</x:f>
        <x:v>1.3</x:v>
      </x:c>
      <x:c r="E6" s="15" t="str">
        <x:v>Yes</x:v>
      </x:c>
      <x:c r="F6" s="15" t="n">
        <x:v>3</x:v>
      </x:c>
      <x:c r="G6" s="15" t="str">
        <x:v>paired observation</x:v>
      </x:c>
      <x:c r="H6" s="15" t="n">
        <x:f>IF(E6="Yes",D6,"")</x:f>
        <x:v>1.3</x:v>
      </x:c>
    </x:row>
    <x:row r="7">
      <x:c r="A7" s="15" t="n">
        <x:v>4</x:v>
      </x:c>
      <x:c r="B7" s="15" t="n">
        <x:v>-1.2</x:v>
      </x:c>
      <x:c r="C7" s="15" t="n">
        <x:v>0.1</x:v>
      </x:c>
      <x:c r="D7" s="15" t="n">
        <x:f>C7-B7</x:f>
        <x:v>1.3</x:v>
      </x:c>
      <x:c r="E7" s="15" t="str">
        <x:v>Yes</x:v>
      </x:c>
      <x:c r="F7" s="15" t="n">
        <x:v>4</x:v>
      </x:c>
      <x:c r="G7" s="15" t="str">
        <x:v>paired observation</x:v>
      </x:c>
      <x:c r="H7" s="15" t="n">
        <x:f>IF(E7="Yes",D7,"")</x:f>
        <x:v>1.3</x:v>
      </x:c>
    </x:row>
    <x:row r="8">
      <x:c r="A8" s="15" t="n">
        <x:v>5</x:v>
      </x:c>
      <x:c r="B8" s="15" t="n">
        <x:v>-0.1</x:v>
      </x:c>
      <x:c r="C8" s="15" t="n">
        <x:v>-0.1</x:v>
      </x:c>
      <x:c r="D8" s="15" t="n">
        <x:f>C8-B8</x:f>
        <x:v>0</x:v>
      </x:c>
      <x:c r="E8" s="15" t="str">
        <x:v>Yes</x:v>
      </x:c>
      <x:c r="F8" s="15" t="n">
        <x:v>5</x:v>
      </x:c>
      <x:c r="G8" s="15" t="str">
        <x:v>paired observation</x:v>
      </x:c>
      <x:c r="H8" s="15" t="n">
        <x:f>IF(E8="Yes",D8,"")</x:f>
        <x:v>0</x:v>
      </x:c>
    </x:row>
    <x:row r="9">
      <x:c r="A9" s="15" t="n">
        <x:v>6</x:v>
      </x:c>
      <x:c r="B9" s="15" t="n">
        <x:v>3.4</x:v>
      </x:c>
      <x:c r="C9" s="15" t="n">
        <x:v>4.4</x:v>
      </x:c>
      <x:c r="D9" s="15" t="n">
        <x:f>C9-B9</x:f>
        <x:v>1.0000000000000004</x:v>
      </x:c>
      <x:c r="E9" s="15" t="str">
        <x:v>Yes</x:v>
      </x:c>
      <x:c r="F9" s="15" t="n">
        <x:v>6</x:v>
      </x:c>
      <x:c r="G9" s="15" t="str">
        <x:v>paired observation</x:v>
      </x:c>
      <x:c r="H9" s="15" t="n">
        <x:f>IF(E9="Yes",D9,"")</x:f>
        <x:v>1.0000000000000004</x:v>
      </x:c>
    </x:row>
    <x:row r="10">
      <x:c r="A10" s="15" t="n">
        <x:v>7</x:v>
      </x:c>
      <x:c r="B10" s="15" t="n">
        <x:v>3.7</x:v>
      </x:c>
      <x:c r="C10" s="15" t="n">
        <x:v>5.5</x:v>
      </x:c>
      <x:c r="D10" s="15" t="n">
        <x:f>C10-B10</x:f>
        <x:v>1.7999999999999998</x:v>
      </x:c>
      <x:c r="E10" s="15" t="str">
        <x:v>Yes</x:v>
      </x:c>
      <x:c r="F10" s="15" t="n">
        <x:v>7</x:v>
      </x:c>
      <x:c r="G10" s="15" t="str">
        <x:v>paired observation</x:v>
      </x:c>
      <x:c r="H10" s="15" t="n">
        <x:f>IF(E10="Yes",D10,"")</x:f>
        <x:v>1.7999999999999998</x:v>
      </x:c>
    </x:row>
    <x:row r="11">
      <x:c r="A11" s="15" t="n">
        <x:v>8</x:v>
      </x:c>
      <x:c r="B11" s="15" t="n">
        <x:v>0.8</x:v>
      </x:c>
      <x:c r="C11" s="15" t="n">
        <x:v>1.6</x:v>
      </x:c>
      <x:c r="D11" s="15" t="n">
        <x:f>C11-B11</x:f>
        <x:v>0.8</x:v>
      </x:c>
      <x:c r="E11" s="15" t="str">
        <x:v>Yes</x:v>
      </x:c>
      <x:c r="F11" s="15" t="n">
        <x:v>8</x:v>
      </x:c>
      <x:c r="G11" s="15" t="str">
        <x:v>paired observation</x:v>
      </x:c>
      <x:c r="H11" s="15" t="n">
        <x:f>IF(E11="Yes",D11,"")</x:f>
        <x:v>0.8</x:v>
      </x:c>
    </x:row>
    <x:row r="12">
      <x:c r="A12" s="15" t="n">
        <x:v>9</x:v>
      </x:c>
      <x:c r="B12" s="15" t="n">
        <x:v>0</x:v>
      </x:c>
      <x:c r="C12" s="15" t="n">
        <x:v>4.6</x:v>
      </x:c>
      <x:c r="D12" s="15" t="n">
        <x:f>C12-B12</x:f>
        <x:v>4.6</x:v>
      </x:c>
      <x:c r="E12" s="15" t="str">
        <x:v>Yes</x:v>
      </x:c>
      <x:c r="F12" s="15" t="n">
        <x:v>9</x:v>
      </x:c>
      <x:c r="G12" s="15" t="str">
        <x:v>paired observation</x:v>
      </x:c>
      <x:c r="H12" s="15" t="n">
        <x:f>IF(E12="Yes",D12,"")</x:f>
        <x:v>4.6</x:v>
      </x:c>
    </x:row>
    <x:row r="13">
      <x:c r="A13" s="15" t="n">
        <x:v>10</x:v>
      </x:c>
      <x:c r="B13" s="15" t="n">
        <x:v>2</x:v>
      </x:c>
      <x:c r="C13" s="15" t="n">
        <x:v>3.4</x:v>
      </x:c>
      <x:c r="D13" s="15" t="n">
        <x:f>C13-B13</x:f>
        <x:v>1.4</x:v>
      </x:c>
      <x:c r="E13" s="15" t="str">
        <x:v>Yes</x:v>
      </x:c>
      <x:c r="F13" s="15" t="n">
        <x:v>10</x:v>
      </x:c>
      <x:c r="G13" s="15" t="str">
        <x:v>paired observation</x:v>
      </x:c>
      <x:c r="H13" s="15" t="n">
        <x:f>IF(E13="Yes",D13,"")</x:f>
        <x:v>1.4</x:v>
      </x:c>
    </x:row>
    <x:row r="14">
      <x:c r="A14" s="15" t="str">
        <x:v>Source</x:v>
      </x:c>
      <x:c r="B14" s="15" t="str">
        <x:v>R datasets::sleep, paired crossover observations</x:v>
      </x:c>
      <x:c r="C14" s="15"/>
      <x:c r="D14" s="15"/>
      <x:c r="E14" s="15"/>
      <x:c r="F14" s="15"/>
      <x:c r="G14" s="15"/>
      <x:c r="H14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35" hidden="0" customWidth="1"/>
    <x:col min="4" max="4" width="14" hidden="0" customWidth="1"/>
    <x:col min="5" max="5" width="34" hidden="0" customWidth="1"/>
  </x:cols>
  <x:sheetData>
    <x:row r="1" ht="26" customHeight="1">
      <x:c r="A1" s="13" t="str">
        <x:v>Pre-specified Analysis Plan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Element</x:v>
      </x:c>
      <x:c r="B3" s="10" t="str">
        <x:v>Specification</x:v>
      </x:c>
      <x:c r="C3" s="10" t="str">
        <x:v>Rationale</x:v>
      </x:c>
      <x:c r="D3" s="10" t="str">
        <x:v>Required</x:v>
      </x:c>
      <x:c r="E3" s="10" t="str">
        <x:v>Notes</x:v>
      </x:c>
    </x:row>
    <x:row r="4">
      <x:c r="A4" s="15" t="str">
        <x:v>Design</x:v>
      </x:c>
      <x:c r="B4" s="15" t="str">
        <x:v>Paired crossover</x:v>
      </x:c>
      <x:c r="C4" s="15" t="str">
        <x:v>Same subjects receive both treatments</x:v>
      </x:c>
      <x:c r="D4" s="15" t="str">
        <x:v>Yes</x:v>
      </x:c>
      <x:c r="E4" s="15" t="str">
        <x:v>Do not use independent-groups test</x:v>
      </x:c>
    </x:row>
    <x:row r="5">
      <x:c r="A5" s="15" t="str">
        <x:v>Primary estimand</x:v>
      </x:c>
      <x:c r="B5" s="15" t="str">
        <x:v>Mean paired difference</x:v>
      </x:c>
      <x:c r="C5" s="15" t="str">
        <x:v>Group 2 minus Group 1</x:v>
      </x:c>
      <x:c r="D5" s="15" t="str">
        <x:v>Yes</x:v>
      </x:c>
      <x:c r="E5" s="15" t="str">
        <x:v>Positive favors Group 2</x:v>
      </x:c>
    </x:row>
    <x:row r="6">
      <x:c r="A6" s="15" t="str">
        <x:v>Inferential test</x:v>
      </x:c>
      <x:c r="B6" s="15" t="str">
        <x:v>Two-sided paired t-test</x:v>
      </x:c>
      <x:c r="C6" s="15" t="str">
        <x:v>Normality of paired differences assumed</x:v>
      </x:c>
      <x:c r="D6" s="15" t="str">
        <x:v>Yes</x:v>
      </x:c>
      <x:c r="E6" s="15" t="str">
        <x:v>df = n - 1</x:v>
      </x:c>
    </x:row>
    <x:row r="7">
      <x:c r="A7" s="15" t="str">
        <x:v>Confidence interval</x:v>
      </x:c>
      <x:c r="B7" s="15" t="str">
        <x:v>95% t interval</x:v>
      </x:c>
      <x:c r="C7" s="15" t="str">
        <x:v>Mean ± t critical × SE</x:v>
      </x:c>
      <x:c r="D7" s="15" t="str">
        <x:v>Yes</x:v>
      </x:c>
      <x:c r="E7" s="15" t="str">
        <x:v>Use paired-difference SD</x:v>
      </x:c>
    </x:row>
    <x:row r="8">
      <x:c r="A8" s="15" t="str">
        <x:v>Decision rule</x:v>
      </x:c>
      <x:c r="B8" s="15" t="str">
        <x:v>p &lt; 0.05</x:v>
      </x:c>
      <x:c r="C8" s="15" t="str">
        <x:v>Two-sided</x:v>
      </x:c>
      <x:c r="D8" s="15" t="str">
        <x:v>Yes</x:v>
      </x:c>
      <x:c r="E8" s="15" t="str">
        <x:v>Report effect and CI</x:v>
      </x:c>
    </x:row>
    <x:row r="9">
      <x:c r="A9" s="15" t="str">
        <x:v>Planning metric</x:v>
      </x:c>
      <x:c r="B9" s="15" t="str">
        <x:v>n for d=0.8 at 80% power</x:v>
      </x:c>
      <x:c r="C9" s="15" t="str">
        <x:v>Two-sided alpha 0.05</x:v>
      </x:c>
      <x:c r="D9" s="15" t="str">
        <x:v>Yes</x:v>
      </x:c>
      <x:c r="E9" s="15" t="str">
        <x:v>May use normal approximation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35" hidden="0" customWidth="1"/>
  </x:cols>
  <x:sheetData>
    <x:row r="1" ht="26" customHeight="1">
      <x:c r="A1" s="13" t="str">
        <x:v>Paired Statistical Analysis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Statistic</x:v>
      </x:c>
      <x:c r="B3" s="10" t="str">
        <x:v>Value</x:v>
      </x:c>
      <x:c r="C3" s="10" t="str">
        <x:v>Unit / formula</x:v>
      </x:c>
      <x:c r="D3" s="10" t="str">
        <x:v>Interpretation</x:v>
      </x:c>
    </x:row>
    <x:row r="4">
      <x:c r="A4" s="15" t="str">
        <x:v>Paired sample size</x:v>
      </x:c>
      <x:c r="B4" s="17"/>
      <x:c r="C4" s="15" t="str">
        <x:v>count</x:v>
      </x:c>
      <x:c r="D4" s="15" t="str">
        <x:v>Included paired observations</x:v>
      </x:c>
    </x:row>
    <x:row r="5">
      <x:c r="A5" s="15" t="str">
        <x:v>Mean paired difference</x:v>
      </x:c>
      <x:c r="B5" s="17"/>
      <x:c r="C5" s="15" t="str">
        <x:v>hours</x:v>
      </x:c>
      <x:c r="D5" s="15" t="str">
        <x:v>Group 2 - Group 1</x:v>
      </x:c>
    </x:row>
    <x:row r="6">
      <x:c r="A6" s="15" t="str">
        <x:v>SD of paired differences</x:v>
      </x:c>
      <x:c r="B6" s="17"/>
      <x:c r="C6" s="15" t="str">
        <x:v>hours</x:v>
      </x:c>
      <x:c r="D6" s="15" t="str">
        <x:v>sample SD</x:v>
      </x:c>
    </x:row>
    <x:row r="7">
      <x:c r="A7" s="15" t="str">
        <x:v>Standard error</x:v>
      </x:c>
      <x:c r="B7" s="17"/>
      <x:c r="C7" s="15" t="str">
        <x:v>hours</x:v>
      </x:c>
      <x:c r="D7" s="15" t="str">
        <x:v>SD / sqrt(n)</x:v>
      </x:c>
    </x:row>
    <x:row r="8">
      <x:c r="A8" s="15" t="str">
        <x:v>t statistic</x:v>
      </x:c>
      <x:c r="B8" s="17"/>
      <x:c r="C8" s="15" t="str">
        <x:v>t</x:v>
      </x:c>
      <x:c r="D8" s="15" t="str">
        <x:v>mean / SE</x:v>
      </x:c>
    </x:row>
    <x:row r="9">
      <x:c r="A9" s="15" t="str">
        <x:v>Degrees of freedom</x:v>
      </x:c>
      <x:c r="B9" s="17"/>
      <x:c r="C9" s="15" t="str">
        <x:v>df</x:v>
      </x:c>
      <x:c r="D9" s="15" t="str">
        <x:v>n - 1</x:v>
      </x:c>
    </x:row>
    <x:row r="10">
      <x:c r="A10" s="15" t="str">
        <x:v>Two-sided p-value</x:v>
      </x:c>
      <x:c r="B10" s="17"/>
      <x:c r="C10" s="15" t="str">
        <x:v>probability</x:v>
      </x:c>
      <x:c r="D10" s="15" t="str">
        <x:v>T.DIST.2T(|t|, df)</x:v>
      </x:c>
    </x:row>
    <x:row r="11">
      <x:c r="A11" s="15" t="str">
        <x:v>95% CI lower</x:v>
      </x:c>
      <x:c r="B11" s="17"/>
      <x:c r="C11" s="15" t="str">
        <x:v>hours</x:v>
      </x:c>
      <x:c r="D11" s="15" t="str">
        <x:v>mean - t*SE</x:v>
      </x:c>
    </x:row>
    <x:row r="12">
      <x:c r="A12" s="15" t="str">
        <x:v>95% CI upper</x:v>
      </x:c>
      <x:c r="B12" s="17"/>
      <x:c r="C12" s="15" t="str">
        <x:v>hours</x:v>
      </x:c>
      <x:c r="D12" s="15" t="str">
        <x:v>mean + t*SE</x:v>
      </x:c>
    </x:row>
    <x:row r="13">
      <x:c r="A13" s="15" t="str">
        <x:v>Planned n at d=0.8</x:v>
      </x:c>
      <x:c r="B13" s="17"/>
      <x:c r="C13" s="15" t="str">
        <x:v>participants</x:v>
      </x:c>
      <x:c r="D13" s="15" t="str">
        <x:v>normal approximation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1" hidden="0" customWidth="1"/>
    <x:col min="4" max="4" width="28" hidden="0" customWidth="1"/>
  </x:cols>
  <x:sheetData>
    <x:row r="1" ht="26" customHeight="1">
      <x:c r="A1" s="13" t="str">
        <x:v>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Decision item</x:v>
      </x:c>
      <x:c r="B3" s="10" t="str">
        <x:v>Value</x:v>
      </x:c>
      <x:c r="C3" s="10" t="str">
        <x:v>Decision</x:v>
      </x:c>
      <x:c r="D3" s="10" t="str">
        <x:v>Evidence</x:v>
      </x:c>
    </x:row>
    <x:row r="4">
      <x:c r="A4" s="15" t="str">
        <x:v>Mean paired difference</x:v>
      </x:c>
      <x:c r="B4" s="17"/>
      <x:c r="C4" s="15"/>
      <x:c r="D4" s="15" t="str">
        <x:v>Analysis mean</x:v>
      </x:c>
    </x:row>
    <x:row r="5">
      <x:c r="A5" s="15" t="str">
        <x:v>95% CI lower</x:v>
      </x:c>
      <x:c r="B5" s="17"/>
      <x:c r="C5" s="15"/>
      <x:c r="D5" s="15" t="str">
        <x:v>Mean - t critical × SE</x:v>
      </x:c>
    </x:row>
    <x:row r="6">
      <x:c r="A6" s="15" t="str">
        <x:v>95% CI upper</x:v>
      </x:c>
      <x:c r="B6" s="17"/>
      <x:c r="C6" s="15"/>
      <x:c r="D6" s="15" t="str">
        <x:v>Mean + t critical × SE</x:v>
      </x:c>
    </x:row>
    <x:row r="7">
      <x:c r="A7" s="15" t="str">
        <x:v>t statistic</x:v>
      </x:c>
      <x:c r="B7" s="17"/>
      <x:c r="C7" s="15"/>
      <x:c r="D7" s="15" t="str">
        <x:v>Paired differences</x:v>
      </x:c>
    </x:row>
    <x:row r="8">
      <x:c r="A8" s="15" t="str">
        <x:v>Conclusion</x:v>
      </x:c>
      <x:c r="B8" s="15"/>
      <x:c r="C8" s="15"/>
      <x:c r="D8" s="15" t="str">
        <x:v>Two-sided p &lt; 0.05 rule</x:v>
      </x:c>
    </x:row>
    <x:row r="9">
      <x:c r="A9" s="15" t="str">
        <x:v>Planning n</x:v>
      </x:c>
      <x:c r="B9" s="15" t="n">
        <x:f>'Analysis'!B13</x:f>
        <x:v>0</x:v>
      </x:c>
      <x:c r="C9" s="15"/>
      <x:c r="D9" s="15" t="str">
        <x:v>80% power at d=0.8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</x:cols>
  <x:sheetData>
    <x:row r="1" ht="26" customHeight="1">
      <x:c r="A1" s="13" t="str">
        <x:v>Paired Difference Visualization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0" t="str">
        <x:v>Subject</x:v>
      </x:c>
      <x:c r="B3" s="10" t="str">
        <x:v>Paired difference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5" t="n">
        <x:v>1</x:v>
      </x:c>
      <x:c r="B4" s="15" t="n">
        <x:f>'Data'!D4</x:f>
        <x:v>1.2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5" t="n">
        <x:v>2</x:v>
      </x:c>
      <x:c r="B5" s="15" t="n">
        <x:f>'Data'!D5</x:f>
        <x:v>2.4000000000000004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5" t="n">
        <x:v>3</x:v>
      </x:c>
      <x:c r="B6" s="15" t="n">
        <x:f>'Data'!D6</x:f>
        <x:v>1.3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5" t="n">
        <x:v>4</x:v>
      </x:c>
      <x:c r="B7" s="15" t="n">
        <x:f>'Data'!D7</x:f>
        <x:v>1.3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5" t="n">
        <x:v>5</x:v>
      </x:c>
      <x:c r="B8" s="15" t="n">
        <x:f>'Data'!D8</x:f>
        <x:v>0</x:v>
      </x:c>
      <x:c r="C8" s="14"/>
      <x:c r="D8" s="14"/>
      <x:c r="E8" s="14"/>
      <x:c r="F8" s="14"/>
      <x:c r="G8" s="14"/>
      <x:c r="H8" s="14"/>
      <x:c r="I8" s="14"/>
      <x:c r="J8" s="14"/>
    </x:row>
    <x:row r="9">
      <x:c r="A9" s="15" t="n">
        <x:v>6</x:v>
      </x:c>
      <x:c r="B9" s="15" t="n">
        <x:f>'Data'!D9</x:f>
        <x:v>1.0000000000000004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15" t="n">
        <x:v>7</x:v>
      </x:c>
      <x:c r="B10" s="15" t="n">
        <x:f>'Data'!D10</x:f>
        <x:v>1.7999999999999998</x:v>
      </x:c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5" t="n">
        <x:v>8</x:v>
      </x:c>
      <x:c r="B11" s="15" t="n">
        <x:f>'Data'!D11</x:f>
        <x:v>0.8</x:v>
      </x:c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5" t="n">
        <x:v>9</x:v>
      </x:c>
      <x:c r="B12" s="15" t="n">
        <x:f>'Data'!D12</x:f>
        <x:v>4.6</x:v>
      </x:c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5" t="n">
        <x:v>10</x:v>
      </x:c>
      <x:c r="B13" s="15" t="n">
        <x:f>'Data'!D13</x:f>
        <x:v>1.4</x:v>
      </x:c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dc6744d5701e4014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39" hidden="0" customWidth="1"/>
  </x:cols>
  <x:sheetData>
    <x:row r="1" ht="26" customHeight="1">
      <x:c r="A1" s="13" t="str">
        <x:v>Statistical Analysis Checks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5" t="str">
        <x:v>Paired difference direction</x:v>
      </x:c>
      <x:c r="B4" s="15" t="n">
        <x:f>SUM('Data'!D4:D13)-SUM('Data'!C4:C13)+SUM('Data'!B4:B13)</x:f>
        <x:v>3.552713678800501e-15</x:v>
      </x:c>
      <x:c r="C4" s="15" t="n">
        <x:v>0</x:v>
      </x:c>
      <x:c r="D4" s="15" t="str">
        <x:f>IF(ABS(B4)&lt;0.0001,"PASS","CHECK")</x:f>
        <x:v>PASS</x:v>
      </x:c>
      <x:c r="E4" s="15" t="str">
        <x:v>Group 2 minus Group 1</x:v>
      </x:c>
    </x:row>
    <x:row r="5">
      <x:c r="A5" s="15" t="str">
        <x:v>Degrees of freedom</x:v>
      </x:c>
      <x:c r="B5" s="15" t="n">
        <x:f>'Analysis'!B9</x:f>
        <x:v>0</x:v>
      </x:c>
      <x:c r="C5" s="15" t="n">
        <x:v>9</x:v>
      </x:c>
      <x:c r="D5" s="15" t="str">
        <x:f>IF(B5=C5,"PASS","CHECK")</x:f>
        <x:v>CHECK</x:v>
      </x:c>
      <x:c r="E5" s="15" t="str">
        <x:v>n-1</x:v>
      </x:c>
    </x:row>
    <x:row r="6">
      <x:c r="A6" s="15" t="str">
        <x:v>Analysis method</x:v>
      </x:c>
      <x:c r="B6" s="15" t="str">
        <x:v>Paired</x:v>
      </x:c>
      <x:c r="C6" s="15" t="str">
        <x:v>Paired</x:v>
      </x:c>
      <x:c r="D6" s="15" t="str">
        <x:f>IF(B6=C6,"PASS","CHECK")</x:f>
        <x:v>PASS</x:v>
      </x:c>
      <x:c r="E6" s="15" t="str">
        <x:v>No independent-groups substitute</x:v>
      </x:c>
    </x:row>
    <x:row r="7">
      <x:c r="A7" s="15" t="str">
        <x:v>Raw data protected</x:v>
      </x:c>
      <x:c r="B7" s="15"/>
      <x:c r="C7" s="15"/>
      <x:c r="D7" s="15"/>
      <x:c r="E7" s="15" t="str">
        <x:v>Do not edit input observations</x:v>
      </x:c>
    </x:row>
  </x:sheetData>
  <x:mergeCells>
    <x:mergeCell ref="A1:E1"/>
  </x:mergeCells>
  <x:pageMargins left="0.7" right="0.7" top="0.75" bottom="0.75" header="0.3" footer="0.3"/>
</x:worksheet>
</file>