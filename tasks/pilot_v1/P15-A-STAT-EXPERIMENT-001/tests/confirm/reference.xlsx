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41ab53131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3ea6dd67c984f0b"/>
    <x:sheet xmlns:r="http://schemas.openxmlformats.org/officeDocument/2006/relationships" name="Plan" sheetId="2" r:id="R8e5625e66c924435"/>
    <x:sheet xmlns:r="http://schemas.openxmlformats.org/officeDocument/2006/relationships" name="Analysis" sheetId="3" r:id="R6cf0e66914414fac"/>
    <x:sheet xmlns:r="http://schemas.openxmlformats.org/officeDocument/2006/relationships" name="Results" sheetId="4" r:id="Ra48c009df1344657"/>
    <x:sheet xmlns:r="http://schemas.openxmlformats.org/officeDocument/2006/relationships" name="Visualization" sheetId="5" r:id="Rc57ac1b012cd498c"/>
    <x:sheet xmlns:r="http://schemas.openxmlformats.org/officeDocument/2006/relationships" name="Checks" sheetId="6" r:id="Ra9cb7ff4e88d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bd362a44e473e" /><Relationship Type="http://schemas.openxmlformats.org/officeDocument/2006/relationships/theme" Target="/xl/theme/theme1.xml" Id="R084a464a6a7a4d68" /><Relationship Type="http://schemas.openxmlformats.org/officeDocument/2006/relationships/sharedStrings" Target="/xl/sharedStrings.xml" Id="R7266cf95bdb5488a" /><Relationship Type="http://schemas.openxmlformats.org/officeDocument/2006/relationships/worksheet" Target="/xl/worksheets/sheet1.xml" Id="R73ea6dd67c984f0b" /><Relationship Type="http://schemas.openxmlformats.org/officeDocument/2006/relationships/worksheet" Target="/xl/worksheets/sheet2.xml" Id="R8e5625e66c924435" /><Relationship Type="http://schemas.openxmlformats.org/officeDocument/2006/relationships/worksheet" Target="/xl/worksheets/sheet3.xml" Id="R6cf0e66914414fac" /><Relationship Type="http://schemas.openxmlformats.org/officeDocument/2006/relationships/worksheet" Target="/xl/worksheets/sheet4.xml" Id="Ra48c009df1344657" /><Relationship Type="http://schemas.openxmlformats.org/officeDocument/2006/relationships/worksheet" Target="/xl/worksheets/sheet5.xml" Id="Rc57ac1b012cd498c" /><Relationship Type="http://schemas.openxmlformats.org/officeDocument/2006/relationships/worksheet" Target="/xl/worksheets/sheet6.xml" Id="Ra9cb7ff4e88d4f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1264233bea4a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Batch Cycle-Time Differences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1264233bea4a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072f150b16844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Batch-Release Cycle-Time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Batch</x:v>
      </x:c>
      <x:c r="B3" s="10" t="str">
        <x:v>Baseline cycle time</x:v>
      </x:c>
      <x:c r="C3" s="10" t="str">
        <x:v>Intervention cycle time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str">
        <x:v>B01</x:v>
      </x:c>
      <x:c r="B4" s="15" t="n">
        <x:v>14.2</x:v>
      </x:c>
      <x:c r="C4" s="15" t="n">
        <x:v>12.8</x:v>
      </x:c>
      <x:c r="D4" s="15" t="n">
        <x:f>C4-B4</x:f>
        <x:v>-1.3999999999999986</x:v>
      </x:c>
      <x:c r="E4" s="15" t="str">
        <x:v>Yes</x:v>
      </x:c>
      <x:c r="F4" s="15" t="n">
        <x:v>1</x:v>
      </x:c>
      <x:c r="G4" s="15" t="str">
        <x:v>paired batch</x:v>
      </x:c>
      <x:c r="H4" s="15" t="n">
        <x:f>IF(E4="Yes",D4,NA())</x:f>
        <x:v>-1.3999999999999986</x:v>
      </x:c>
    </x:row>
    <x:row r="5">
      <x:c r="A5" s="15" t="str">
        <x:v>B02</x:v>
      </x:c>
      <x:c r="B5" s="15" t="n">
        <x:v>13.8</x:v>
      </x:c>
      <x:c r="C5" s="15" t="n">
        <x:v>12.9</x:v>
      </x:c>
      <x:c r="D5" s="15" t="n">
        <x:f>C5-B5</x:f>
        <x:v>-0.9000000000000004</x:v>
      </x:c>
      <x:c r="E5" s="15" t="str">
        <x:v>Yes</x:v>
      </x:c>
      <x:c r="F5" s="15" t="n">
        <x:v>2</x:v>
      </x:c>
      <x:c r="G5" s="15" t="str">
        <x:v>paired batch</x:v>
      </x:c>
      <x:c r="H5" s="15" t="n">
        <x:f>IF(E5="Yes",D5,NA())</x:f>
        <x:v>-0.9000000000000004</x:v>
      </x:c>
    </x:row>
    <x:row r="6">
      <x:c r="A6" s="15" t="str">
        <x:v>B03</x:v>
      </x:c>
      <x:c r="B6" s="15" t="n">
        <x:v>15.1</x:v>
      </x:c>
      <x:c r="C6" s="15" t="n">
        <x:v>13.7</x:v>
      </x:c>
      <x:c r="D6" s="15" t="n">
        <x:f>C6-B6</x:f>
        <x:v>-1.4000000000000004</x:v>
      </x:c>
      <x:c r="E6" s="15" t="str">
        <x:v>Yes</x:v>
      </x:c>
      <x:c r="F6" s="15" t="n">
        <x:v>3</x:v>
      </x:c>
      <x:c r="G6" s="15" t="str">
        <x:v>paired batch</x:v>
      </x:c>
      <x:c r="H6" s="15" t="n">
        <x:f>IF(E6="Yes",D6,NA())</x:f>
        <x:v>-1.4000000000000004</x:v>
      </x:c>
    </x:row>
    <x:row r="7">
      <x:c r="A7" s="15" t="str">
        <x:v>B04</x:v>
      </x:c>
      <x:c r="B7" s="15" t="n">
        <x:v>12.9</x:v>
      </x:c>
      <x:c r="C7" s="15" t="n">
        <x:v>12.1</x:v>
      </x:c>
      <x:c r="D7" s="15" t="n">
        <x:f>C7-B7</x:f>
        <x:v>-0.8000000000000007</x:v>
      </x:c>
      <x:c r="E7" s="15" t="str">
        <x:v>Yes</x:v>
      </x:c>
      <x:c r="F7" s="15" t="n">
        <x:v>4</x:v>
      </x:c>
      <x:c r="G7" s="15" t="str">
        <x:v>paired batch</x:v>
      </x:c>
      <x:c r="H7" s="15" t="n">
        <x:f>IF(E7="Yes",D7,NA())</x:f>
        <x:v>-0.8000000000000007</x:v>
      </x:c>
    </x:row>
    <x:row r="8">
      <x:c r="A8" s="15" t="str">
        <x:v>B05</x:v>
      </x:c>
      <x:c r="B8" s="15" t="n">
        <x:v>14.7</x:v>
      </x:c>
      <x:c r="C8" s="15" t="n">
        <x:v>13</x:v>
      </x:c>
      <x:c r="D8" s="15" t="n">
        <x:f>C8-B8</x:f>
        <x:v>-1.6999999999999993</x:v>
      </x:c>
      <x:c r="E8" s="15" t="str">
        <x:v>Yes</x:v>
      </x:c>
      <x:c r="F8" s="15" t="n">
        <x:v>5</x:v>
      </x:c>
      <x:c r="G8" s="15" t="str">
        <x:v>paired batch</x:v>
      </x:c>
      <x:c r="H8" s="15" t="n">
        <x:f>IF(E8="Yes",D8,NA())</x:f>
        <x:v>-1.6999999999999993</x:v>
      </x:c>
    </x:row>
    <x:row r="9">
      <x:c r="A9" s="15" t="str">
        <x:v>B06</x:v>
      </x:c>
      <x:c r="B9" s="15" t="n">
        <x:v>13.5</x:v>
      </x:c>
      <x:c r="C9" s="15" t="n">
        <x:v>12.4</x:v>
      </x:c>
      <x:c r="D9" s="15" t="n">
        <x:f>C9-B9</x:f>
        <x:v>-1.0999999999999996</x:v>
      </x:c>
      <x:c r="E9" s="15" t="str">
        <x:v>Yes</x:v>
      </x:c>
      <x:c r="F9" s="15" t="n">
        <x:v>6</x:v>
      </x:c>
      <x:c r="G9" s="15" t="str">
        <x:v>paired batch</x:v>
      </x:c>
      <x:c r="H9" s="15" t="n">
        <x:f>IF(E9="Yes",D9,NA())</x:f>
        <x:v>-1.0999999999999996</x:v>
      </x:c>
    </x:row>
    <x:row r="10">
      <x:c r="A10" s="15" t="str">
        <x:v>B07</x:v>
      </x:c>
      <x:c r="B10" s="15" t="n">
        <x:v>16</x:v>
      </x:c>
      <x:c r="C10" s="15" t="n">
        <x:v>14.2</x:v>
      </x:c>
      <x:c r="D10" s="15" t="n">
        <x:f>C10-B10</x:f>
        <x:v>-1.8000000000000007</x:v>
      </x:c>
      <x:c r="E10" s="15" t="str">
        <x:v>Yes</x:v>
      </x:c>
      <x:c r="F10" s="15" t="n">
        <x:v>7</x:v>
      </x:c>
      <x:c r="G10" s="15" t="str">
        <x:v>paired batch</x:v>
      </x:c>
      <x:c r="H10" s="15" t="n">
        <x:f>IF(E10="Yes",D10,NA())</x:f>
        <x:v>-1.8000000000000007</x:v>
      </x:c>
    </x:row>
    <x:row r="11">
      <x:c r="A11" s="15" t="str">
        <x:v>B08</x:v>
      </x:c>
      <x:c r="B11" s="15" t="n">
        <x:v>15.4</x:v>
      </x:c>
      <x:c r="C11" s="15" t="n">
        <x:v>13.6</x:v>
      </x:c>
      <x:c r="D11" s="15" t="n">
        <x:f>C11-B11</x:f>
        <x:v>-1.8000000000000007</x:v>
      </x:c>
      <x:c r="E11" s="15" t="str">
        <x:v>Yes</x:v>
      </x:c>
      <x:c r="F11" s="15" t="n">
        <x:v>8</x:v>
      </x:c>
      <x:c r="G11" s="15" t="str">
        <x:v>paired batch</x:v>
      </x:c>
      <x:c r="H11" s="15" t="n">
        <x:f>IF(E11="Yes",D11,NA())</x:f>
        <x:v>-1.8000000000000007</x:v>
      </x:c>
    </x:row>
    <x:row r="12">
      <x:c r="A12" s="15" t="str">
        <x:v>B09</x:v>
      </x:c>
      <x:c r="B12" s="15" t="n">
        <x:v>14</x:v>
      </x:c>
      <x:c r="C12" s="15" t="n">
        <x:v>12.9</x:v>
      </x:c>
      <x:c r="D12" s="15" t="n">
        <x:f>C12-B12</x:f>
        <x:v>-1.0999999999999996</x:v>
      </x:c>
      <x:c r="E12" s="15" t="str">
        <x:v>Yes</x:v>
      </x:c>
      <x:c r="F12" s="15" t="n">
        <x:v>9</x:v>
      </x:c>
      <x:c r="G12" s="15" t="str">
        <x:v>paired batch</x:v>
      </x:c>
      <x:c r="H12" s="15" t="n">
        <x:f>IF(E12="Yes",D12,NA())</x:f>
        <x:v>-1.0999999999999996</x:v>
      </x:c>
    </x:row>
    <x:row r="13">
      <x:c r="A13" s="15" t="str">
        <x:v>B10</x:v>
      </x:c>
      <x:c r="B13" s="15" t="n">
        <x:v>13.2</x:v>
      </x:c>
      <x:c r="C13" s="15" t="n">
        <x:v>12</x:v>
      </x:c>
      <x:c r="D13" s="15" t="n">
        <x:f>C13-B13</x:f>
        <x:v>-1.1999999999999993</x:v>
      </x:c>
      <x:c r="E13" s="15" t="str">
        <x:v>Yes</x:v>
      </x:c>
      <x:c r="F13" s="15" t="n">
        <x:v>10</x:v>
      </x:c>
      <x:c r="G13" s="15" t="str">
        <x:v>paired batch</x:v>
      </x:c>
      <x:c r="H13" s="15" t="n">
        <x:f>IF(E13="Yes",D13,NA())</x:f>
        <x:v>-1.1999999999999993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Paired Batch-Release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before/after</x:v>
      </x:c>
      <x:c r="C4" s="15" t="str">
        <x:v>Same manufacturing batch under both workflows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Intervention minus baseline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Batch-Release Cycle-Time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 t="n">
        <x:f>COUNT('Data'!H4:H13)</x:f>
        <x:v>10</x:v>
      </x:c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 t="n">
        <x:f>AVERAGE('Data'!H4:H13)</x:f>
        <x:v>-1.3199999999999998</x:v>
      </x:c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 t="n">
        <x:f>STDEV.S('Data'!H4:H13)</x:f>
        <x:v>0.3614784456460256</x:v>
      </x:c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 t="n">
        <x:f>B6/SQRT(B4)</x:f>
        <x:v>0.11430952132988165</x:v>
      </x:c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 t="n">
        <x:f>B5/B7</x:f>
        <x:v>-11.547594501692124</x:v>
      </x:c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 t="n">
        <x:f>B4-1</x:f>
        <x:v>9</x:v>
      </x:c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 t="e">
        <x:f>T.DIST.2T(ABS(B8),B9)</x:f>
        <x:v>FDe._2T is not a function</x:v>
      </x:c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 t="e">
        <x:f>B5-T.INV.2T(0.05,B9)*B7</x:f>
        <x:v>i is not a function</x:v>
      </x:c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 t="e">
        <x:f>B5+T.INV.2T(0.05,B9)*B7</x:f>
        <x:v>i is not a function</x:v>
      </x:c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 t="n">
        <x:f>ROUNDUP(((1.96+0.84)/0.8)^2,0)</x:f>
        <x:v>13</x:v>
      </x:c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Batch-Release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 t="n">
        <x:f>'Analysis'!B5</x:f>
        <x:v>-1.3199999999999998</x:v>
      </x:c>
      <x:c r="C4" s="15"/>
      <x:c r="D4" s="15" t="str">
        <x:v>Analysis mean</x:v>
      </x:c>
    </x:row>
    <x:row r="5">
      <x:c r="A5" s="15" t="str">
        <x:v>95% CI lower</x:v>
      </x:c>
      <x:c r="B5" s="17" t="e">
        <x:f>'Analysis'!B11</x:f>
        <x:v>i is not a function</x:v>
      </x:c>
      <x:c r="C5" s="15"/>
      <x:c r="D5" s="15" t="str">
        <x:v>Mean - t critical × SE</x:v>
      </x:c>
    </x:row>
    <x:row r="6">
      <x:c r="A6" s="15" t="str">
        <x:v>95% CI upper</x:v>
      </x:c>
      <x:c r="B6" s="17" t="e">
        <x:f>'Analysis'!B12</x:f>
        <x:v>i is not a function</x:v>
      </x:c>
      <x:c r="C6" s="15"/>
      <x:c r="D6" s="15" t="str">
        <x:v>Mean + t critical × SE</x:v>
      </x:c>
    </x:row>
    <x:row r="7">
      <x:c r="A7" s="15" t="str">
        <x:v>t statistic</x:v>
      </x:c>
      <x:c r="B7" s="17" t="n">
        <x:f>'Analysis'!B8</x:f>
        <x:v>-11.547594501692124</x:v>
      </x:c>
      <x:c r="C7" s="15"/>
      <x:c r="D7" s="15" t="str">
        <x:v>Paired differences</x:v>
      </x:c>
    </x:row>
    <x:row r="8">
      <x:c r="A8" s="15" t="str">
        <x:v>Conclusion</x:v>
      </x:c>
      <x:c r="B8" s="15" t="e">
        <x:f>IF('Analysis'!B10&lt;0.05,"Reject H0: paired effect detected","Do not reject H0")</x:f>
        <x:v>#VALUE!</x:v>
      </x:c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13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Batch Cycle-Time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Batch</x:v>
      </x:c>
      <x:c r="B3" s="10" t="str">
        <x:v>Intervention minus baseline (h)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str">
        <x:v>B01</x:v>
      </x:c>
      <x:c r="B4" s="15" t="n">
        <x:f>'Data'!D4</x:f>
        <x:v>-1.3999999999999986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str">
        <x:v>B02</x:v>
      </x:c>
      <x:c r="B5" s="15" t="n">
        <x:f>'Data'!D5</x:f>
        <x:v>-0.9000000000000004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str">
        <x:v>B03</x:v>
      </x:c>
      <x:c r="B6" s="15" t="n">
        <x:f>'Data'!D6</x:f>
        <x:v>-1.4000000000000004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str">
        <x:v>B04</x:v>
      </x:c>
      <x:c r="B7" s="15" t="n">
        <x:f>'Data'!D7</x:f>
        <x:v>-0.8000000000000007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str">
        <x:v>B05</x:v>
      </x:c>
      <x:c r="B8" s="15" t="n">
        <x:f>'Data'!D8</x:f>
        <x:v>-1.6999999999999993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str">
        <x:v>B06</x:v>
      </x:c>
      <x:c r="B9" s="15" t="n">
        <x:f>'Data'!D9</x:f>
        <x:v>-1.0999999999999996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str">
        <x:v>B07</x:v>
      </x:c>
      <x:c r="B10" s="15" t="n">
        <x:f>'Data'!D10</x:f>
        <x:v>-1.8000000000000007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str">
        <x:v>B08</x:v>
      </x:c>
      <x:c r="B11" s="15" t="n">
        <x:f>'Data'!D11</x:f>
        <x:v>-1.8000000000000007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str">
        <x:v>B09</x:v>
      </x:c>
      <x:c r="B12" s="15" t="n">
        <x:f>'Data'!D12</x:f>
        <x:v>-1.0999999999999996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str">
        <x:v>B10</x:v>
      </x:c>
      <x:c r="B13" s="15" t="n">
        <x:f>'Data'!D13</x:f>
        <x:v>-1.1999999999999993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072f150b168440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Paired Batch 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0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9</x:v>
      </x:c>
      <x:c r="C5" s="15" t="n">
        <x:v>9</x:v>
      </x:c>
      <x:c r="D5" s="15" t="str">
        <x:f>IF(B5=C5,"PASS","CHECK")</x:f>
        <x:v>PASS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