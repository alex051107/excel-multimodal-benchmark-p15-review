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b290b1f0b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76879488bc40b8"/>
    <x:sheet xmlns:r="http://schemas.openxmlformats.org/officeDocument/2006/relationships" name="Plan" sheetId="2" r:id="R316e665bad2e450c"/>
    <x:sheet xmlns:r="http://schemas.openxmlformats.org/officeDocument/2006/relationships" name="Analysis" sheetId="3" r:id="R7e50cb1b9d5441a4"/>
    <x:sheet xmlns:r="http://schemas.openxmlformats.org/officeDocument/2006/relationships" name="Results" sheetId="4" r:id="R298a24a34e4d4b47"/>
    <x:sheet xmlns:r="http://schemas.openxmlformats.org/officeDocument/2006/relationships" name="Visualization" sheetId="5" r:id="R6e15ad426aa74d85"/>
    <x:sheet xmlns:r="http://schemas.openxmlformats.org/officeDocument/2006/relationships" name="Checks" sheetId="6" r:id="R0b03f9c660e9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0137ce8ea49d0" /><Relationship Type="http://schemas.openxmlformats.org/officeDocument/2006/relationships/theme" Target="/xl/theme/theme1.xml" Id="Rabce84d757414a23" /><Relationship Type="http://schemas.openxmlformats.org/officeDocument/2006/relationships/sharedStrings" Target="/xl/sharedStrings.xml" Id="R1f4a2462b92249a9" /><Relationship Type="http://schemas.openxmlformats.org/officeDocument/2006/relationships/worksheet" Target="/xl/worksheets/sheet1.xml" Id="R9f76879488bc40b8" /><Relationship Type="http://schemas.openxmlformats.org/officeDocument/2006/relationships/worksheet" Target="/xl/worksheets/sheet2.xml" Id="R316e665bad2e450c" /><Relationship Type="http://schemas.openxmlformats.org/officeDocument/2006/relationships/worksheet" Target="/xl/worksheets/sheet3.xml" Id="R7e50cb1b9d5441a4" /><Relationship Type="http://schemas.openxmlformats.org/officeDocument/2006/relationships/worksheet" Target="/xl/worksheets/sheet4.xml" Id="R298a24a34e4d4b47" /><Relationship Type="http://schemas.openxmlformats.org/officeDocument/2006/relationships/worksheet" Target="/xl/worksheets/sheet5.xml" Id="R6e15ad426aa74d85" /><Relationship Type="http://schemas.openxmlformats.org/officeDocument/2006/relationships/worksheet" Target="/xl/worksheets/sheet6.xml" Id="R0b03f9c660e942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1e60cefa684d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1e60cefa684d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092bdb41ffa40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n">
        <x:f>IF(E13="Yes",D13,"")</x:f>
        <x:v>1.4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 t="n">
        <x:f>COUNT('Data'!H4:H13)</x:f>
        <x:v>10</x:v>
      </x:c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 t="n">
        <x:f>AVERAGE('Data'!H4:H13)</x:f>
        <x:v>1.58</x:v>
      </x:c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 t="n">
        <x:f>STDEV.S('Data'!H4:H13)</x:f>
        <x:v>1.2299954832798732</x:v>
      </x:c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 t="n">
        <x:f>B6/SQRT(B4)</x:f>
        <x:v>0.3889587238883952</x:v>
      </x:c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 t="n">
        <x:f>B5/B7</x:f>
        <x:v>4.062127683382037</x:v>
      </x:c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 t="n">
        <x:f>B4-1</x:f>
        <x:v>9</x:v>
      </x:c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 t="n">
        <x:f>T.DIST.RT(ABS(B8),B9)</x:f>
        <x:v>0.001416445099993613</x:v>
      </x:c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 t="e">
        <x:f>B5-T.INV.2T(0.05,B9)*B7</x:f>
        <x:v>i is not a function</x:v>
      </x:c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 t="e">
        <x:f>B5+T.INV.2T(0.05,B9)*B7</x:f>
        <x:v>i is not a function</x:v>
      </x:c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 t="n">
        <x:f>ROUNDUP(((1.96+0.84)/0.8)^2,0)</x:f>
        <x:v>13</x:v>
      </x:c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 t="n">
        <x:f>'Analysis'!B5</x:f>
        <x:v>1.58</x:v>
      </x:c>
      <x:c r="C4" s="15"/>
      <x:c r="D4" s="15" t="str">
        <x:v>Analysis mean</x:v>
      </x:c>
    </x:row>
    <x:row r="5">
      <x:c r="A5" s="15" t="str">
        <x:v>95% CI lower</x:v>
      </x:c>
      <x:c r="B5" s="17" t="e">
        <x:f>'Analysis'!B11</x:f>
        <x:v>i is not a function</x:v>
      </x:c>
      <x:c r="C5" s="15"/>
      <x:c r="D5" s="15" t="str">
        <x:v>Mean - t critical × SE</x:v>
      </x:c>
    </x:row>
    <x:row r="6">
      <x:c r="A6" s="15" t="str">
        <x:v>95% CI upper</x:v>
      </x:c>
      <x:c r="B6" s="17" t="e">
        <x:f>'Analysis'!B12</x:f>
        <x:v>i is not a function</x:v>
      </x:c>
      <x:c r="C6" s="15"/>
      <x:c r="D6" s="15" t="str">
        <x:v>Mean + t critical × SE</x:v>
      </x:c>
    </x:row>
    <x:row r="7">
      <x:c r="A7" s="15" t="str">
        <x:v>t statistic</x:v>
      </x:c>
      <x:c r="B7" s="17" t="n">
        <x:f>'Analysis'!B8</x:f>
        <x:v>4.062127683382037</x:v>
      </x:c>
      <x:c r="C7" s="15"/>
      <x:c r="D7" s="15" t="str">
        <x:v>Paired differences</x:v>
      </x:c>
    </x:row>
    <x:row r="8">
      <x:c r="A8" s="15" t="str">
        <x:v>Conclusion</x:v>
      </x:c>
      <x:c r="B8" s="15" t="str">
        <x:f>IF('Analysis'!B10&lt;0.05,"Reject H0: paired effect detected","Do not reject H0")</x:f>
        <x:v>Reject H0: paired effect detected</x:v>
      </x:c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13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'Data'!D4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'Data'!D5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'Data'!D6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'Data'!D7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'Data'!D8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'Data'!D9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'Data'!D10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'Data'!D11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'Data'!D12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'Data'!D13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a092bdb41ffa40c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9</x:v>
      </x:c>
      <x:c r="C5" s="15" t="n">
        <x:v>9</x:v>
      </x:c>
      <x:c r="D5" s="15" t="str">
        <x:f>IF(B5=C5,"PASS","CHECK")</x:f>
        <x:v>PASS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