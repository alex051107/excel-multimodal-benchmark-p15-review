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8e7856397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63d1cca7521478d"/>
    <x:sheet xmlns:r="http://schemas.openxmlformats.org/officeDocument/2006/relationships" name="Plan" sheetId="2" r:id="R829dc44c877c4e38"/>
    <x:sheet xmlns:r="http://schemas.openxmlformats.org/officeDocument/2006/relationships" name="Analysis" sheetId="3" r:id="R92c636d3a8854704"/>
    <x:sheet xmlns:r="http://schemas.openxmlformats.org/officeDocument/2006/relationships" name="Results" sheetId="4" r:id="R8888ee9023734a08"/>
    <x:sheet xmlns:r="http://schemas.openxmlformats.org/officeDocument/2006/relationships" name="Visualization" sheetId="5" r:id="R8a9a3cf0fe564e16"/>
    <x:sheet xmlns:r="http://schemas.openxmlformats.org/officeDocument/2006/relationships" name="Checks" sheetId="6" r:id="R896e2409d88c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a1b5ce5a74847" /><Relationship Type="http://schemas.openxmlformats.org/officeDocument/2006/relationships/theme" Target="/xl/theme/theme1.xml" Id="Rcaec1c7720f04911" /><Relationship Type="http://schemas.openxmlformats.org/officeDocument/2006/relationships/sharedStrings" Target="/xl/sharedStrings.xml" Id="R1ecdbe1474f244dd" /><Relationship Type="http://schemas.openxmlformats.org/officeDocument/2006/relationships/worksheet" Target="/xl/worksheets/sheet1.xml" Id="Rd63d1cca7521478d" /><Relationship Type="http://schemas.openxmlformats.org/officeDocument/2006/relationships/worksheet" Target="/xl/worksheets/sheet2.xml" Id="R829dc44c877c4e38" /><Relationship Type="http://schemas.openxmlformats.org/officeDocument/2006/relationships/worksheet" Target="/xl/worksheets/sheet3.xml" Id="R92c636d3a8854704" /><Relationship Type="http://schemas.openxmlformats.org/officeDocument/2006/relationships/worksheet" Target="/xl/worksheets/sheet4.xml" Id="R8888ee9023734a08" /><Relationship Type="http://schemas.openxmlformats.org/officeDocument/2006/relationships/worksheet" Target="/xl/worksheets/sheet5.xml" Id="R8a9a3cf0fe564e16" /><Relationship Type="http://schemas.openxmlformats.org/officeDocument/2006/relationships/worksheet" Target="/xl/worksheets/sheet6.xml" Id="R896e2409d88c4e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f1f3d60ad645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f1f3d60ad645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0412c5793824f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10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AVERAGE('Data'!H4:H13)</x:f>
        <x:v>1.58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STDEV.S('Data'!B4:C13)</x:f>
        <x:v>2.0179197209007103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B6/SQRT(B4)</x:f>
        <x:v>0.6381222453417527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B5/B7</x:f>
        <x:v>2.4760146061885298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9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e">
        <x:f>T.DIST.2T(ABS(B8),B9)</x:f>
        <x:v>FDe._2T is not a function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B5-T.INV.2T(0.05,B9)*B7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B5+T.INV.2T(0.05,B9)*B7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1.58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2.4760146061885298</x:v>
      </x:c>
      <x:c r="C7" s="15"/>
      <x:c r="D7" s="15" t="str">
        <x:v>Paired differences</x:v>
      </x:c>
    </x:row>
    <x:row r="8">
      <x:c r="A8" s="15" t="str">
        <x:v>Conclusion</x:v>
      </x:c>
      <x:c r="B8" s="15" t="e">
        <x:f>IF('Analysis'!B10&lt;0.05,"Reject H0: paired effect detected","Do not reject H0")</x:f>
        <x:v>#VALUE!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'Data'!D4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'Data'!D5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'Data'!D6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'Data'!D7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'Data'!D8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'Data'!D9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'Data'!D10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'Data'!D11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'Data'!D12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'Data'!D13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b0412c5793824f9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9</x:v>
      </x:c>
      <x:c r="C5" s="15" t="n">
        <x:v>9</x:v>
      </x:c>
      <x:c r="D5" s="15" t="str">
        <x:f>IF(B5=C5,"PASS","CHECK")</x:f>
        <x:v>PASS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