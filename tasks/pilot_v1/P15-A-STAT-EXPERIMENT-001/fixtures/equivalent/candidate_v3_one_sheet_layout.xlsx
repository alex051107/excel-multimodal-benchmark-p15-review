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 Stu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Paired differences by subject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'Paired Study'!D1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'Paired Study'!$A$2:$A$11</f>
            </numRef>
          </cat>
          <val>
            <numRef>
              <f>'Paired Study'!$D$2:$D$11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Treatment 1</t>
        </is>
      </c>
      <c r="C1" t="inlineStr">
        <is>
          <t>Treatment 2</t>
        </is>
      </c>
      <c r="D1" t="inlineStr">
        <is>
          <t>Paired difference (Treatment 2 - Treatment 1)</t>
        </is>
      </c>
      <c r="E1" t="inlineStr"/>
      <c r="F1" t="inlineStr">
        <is>
          <t>Paired two-sided t-test</t>
        </is>
      </c>
      <c r="G1" t="inlineStr">
        <is>
          <t>Value</t>
        </is>
      </c>
    </row>
    <row r="2">
      <c r="A2" t="n">
        <v>1</v>
      </c>
      <c r="B2" t="n">
        <v>0.7</v>
      </c>
      <c r="C2" t="n">
        <v>1.9</v>
      </c>
      <c r="D2">
        <f>C2-B2</f>
        <v/>
      </c>
      <c r="F2" t="inlineStr">
        <is>
          <t>Paired sample size</t>
        </is>
      </c>
      <c r="G2">
        <f>COUNT(D2:D11)</f>
        <v/>
      </c>
    </row>
    <row r="3">
      <c r="A3" t="n">
        <v>2</v>
      </c>
      <c r="B3" t="n">
        <v>-1.6</v>
      </c>
      <c r="C3" t="n">
        <v>0.8</v>
      </c>
      <c r="D3">
        <f>C3-B3</f>
        <v/>
      </c>
      <c r="F3" t="inlineStr">
        <is>
          <t>Mean difference</t>
        </is>
      </c>
      <c r="G3">
        <f>AVERAGE(D2:D11)</f>
        <v/>
      </c>
    </row>
    <row r="4">
      <c r="A4" t="n">
        <v>3</v>
      </c>
      <c r="B4" t="n">
        <v>-0.2</v>
      </c>
      <c r="C4" t="n">
        <v>1.1</v>
      </c>
      <c r="D4">
        <f>C4-B4</f>
        <v/>
      </c>
      <c r="F4" t="inlineStr">
        <is>
          <t>SD of difference</t>
        </is>
      </c>
      <c r="G4">
        <f>STDEV.S(D2:D11)</f>
        <v/>
      </c>
    </row>
    <row r="5">
      <c r="A5" t="n">
        <v>4</v>
      </c>
      <c r="B5" t="n">
        <v>-1.2</v>
      </c>
      <c r="C5" t="n">
        <v>0.1</v>
      </c>
      <c r="D5">
        <f>C5-B5</f>
        <v/>
      </c>
      <c r="F5" t="inlineStr">
        <is>
          <t>SE of difference</t>
        </is>
      </c>
      <c r="G5">
        <f>G4/SQRT(G2)</f>
        <v/>
      </c>
    </row>
    <row r="6">
      <c r="A6" t="n">
        <v>5</v>
      </c>
      <c r="B6" t="n">
        <v>-0.1</v>
      </c>
      <c r="C6" t="n">
        <v>-0.1</v>
      </c>
      <c r="D6">
        <f>C6-B6</f>
        <v/>
      </c>
      <c r="F6" t="inlineStr">
        <is>
          <t>t statistic</t>
        </is>
      </c>
      <c r="G6">
        <f>G3/G5</f>
        <v/>
      </c>
    </row>
    <row r="7">
      <c r="A7" t="n">
        <v>6</v>
      </c>
      <c r="B7" t="n">
        <v>3.4</v>
      </c>
      <c r="C7" t="n">
        <v>4.4</v>
      </c>
      <c r="D7">
        <f>C7-B7</f>
        <v/>
      </c>
      <c r="F7" t="inlineStr">
        <is>
          <t>Degrees of freedom</t>
        </is>
      </c>
      <c r="G7">
        <f>G2-1</f>
        <v/>
      </c>
    </row>
    <row r="8">
      <c r="A8" t="n">
        <v>7</v>
      </c>
      <c r="B8" t="n">
        <v>3.7</v>
      </c>
      <c r="C8" t="n">
        <v>5.5</v>
      </c>
      <c r="D8">
        <f>C8-B8</f>
        <v/>
      </c>
      <c r="F8" t="inlineStr">
        <is>
          <t>Two-sided p-value</t>
        </is>
      </c>
      <c r="G8">
        <f>T.DIST.2T(ABS(G6),G7)</f>
        <v/>
      </c>
    </row>
    <row r="9">
      <c r="A9" t="n">
        <v>8</v>
      </c>
      <c r="B9" t="n">
        <v>0.8</v>
      </c>
      <c r="C9" t="n">
        <v>1.6</v>
      </c>
      <c r="D9">
        <f>C9-B9</f>
        <v/>
      </c>
      <c r="F9" t="inlineStr">
        <is>
          <t>95% CI lower</t>
        </is>
      </c>
      <c r="G9">
        <f>G3-T.INV.2T(0.05,G7)*G5</f>
        <v/>
      </c>
    </row>
    <row r="10">
      <c r="A10" t="n">
        <v>9</v>
      </c>
      <c r="B10" t="n">
        <v>0</v>
      </c>
      <c r="C10" t="n">
        <v>4.6</v>
      </c>
      <c r="D10">
        <f>C10-B10</f>
        <v/>
      </c>
      <c r="F10" t="inlineStr">
        <is>
          <t>95% CI upper</t>
        </is>
      </c>
      <c r="G10">
        <f>G3+T.INV.2T(0.05,G7)*G5</f>
        <v/>
      </c>
    </row>
    <row r="11">
      <c r="A11" t="n">
        <v>10</v>
      </c>
      <c r="B11" t="n">
        <v>2</v>
      </c>
      <c r="C11" t="n">
        <v>3.4</v>
      </c>
      <c r="D11">
        <f>C11-B11</f>
        <v/>
      </c>
      <c r="F11" t="inlineStr">
        <is>
          <t>Required sample size</t>
        </is>
      </c>
      <c r="G11" t="n">
        <v>13</v>
      </c>
    </row>
    <row r="12">
      <c r="F12" t="inlineStr">
        <is>
          <t>Decision (two-sided alpha 0.05)</t>
        </is>
      </c>
      <c r="G12">
        <f>IF(G8&lt;0.05,"Reject null; statistically significant paired difference","Fail to reject null")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2026-09-04T02:56:43Z</dcterms:created>
  <dcterms:modified xmlns:dcterms="http://purl.org/dc/terms/" xmlns:xsi="http://www.w3.org/2001/XMLSchema-instance" xsi:type="dcterms:W3CDTF">2026-09-04T02:56:43Z</dcterms:modified>
</cp:coreProperties>
</file>