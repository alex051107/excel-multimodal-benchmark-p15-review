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Base" sheetId="3" state="visible" r:id="rId3"/>
    <sheet xmlns:r="http://schemas.openxmlformats.org/officeDocument/2006/relationships" name="Policy" sheetId="4" state="visible" r:id="rId4"/>
    <sheet xmlns:r="http://schemas.openxmlformats.org/officeDocument/2006/relationships" name="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Generation (GWh)</t>
        </is>
      </c>
      <c r="C1" t="inlineStr">
        <is>
          <t>Emission factor (tCO2/MWh)</t>
        </is>
      </c>
    </row>
    <row r="2">
      <c r="A2" t="inlineStr">
        <is>
          <t>Coal</t>
        </is>
      </c>
      <c r="B2" t="n">
        <v>510000</v>
      </c>
      <c r="C2" t="n">
        <v>0.96</v>
      </c>
    </row>
    <row r="3">
      <c r="A3" t="inlineStr">
        <is>
          <t>Natural gas</t>
        </is>
      </c>
      <c r="B3" t="n">
        <v>1420000</v>
      </c>
      <c r="C3" t="n">
        <v>0.38</v>
      </c>
    </row>
    <row r="4">
      <c r="A4" t="inlineStr">
        <is>
          <t>Wind</t>
        </is>
      </c>
      <c r="B4" t="n">
        <v>515000</v>
      </c>
    </row>
    <row r="5">
      <c r="A5" t="inlineStr">
        <is>
          <t>Solar</t>
        </is>
      </c>
      <c r="B5" t="n">
        <v>305000</v>
      </c>
    </row>
    <row r="6">
      <c r="A6" t="inlineStr">
        <is>
          <t>Demand</t>
        </is>
      </c>
      <c r="B6" t="n">
        <v>3300000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Policy case</t>
        </is>
      </c>
    </row>
    <row r="2">
      <c r="A2" t="inlineStr">
        <is>
          <t>Coal displacement share</t>
        </is>
      </c>
      <c r="B2" t="n">
        <v>0.11</v>
      </c>
    </row>
    <row r="3">
      <c r="A3" t="inlineStr">
        <is>
          <t>Wind uplift share</t>
        </is>
      </c>
      <c r="B3" t="n">
        <v>0.07000000000000001</v>
      </c>
    </row>
    <row r="4">
      <c r="A4" t="inlineStr">
        <is>
          <t>Solar uplift share</t>
        </is>
      </c>
      <c r="B4" t="n">
        <v>0.15</v>
      </c>
    </row>
    <row r="5">
      <c r="A5" t="inlineStr">
        <is>
          <t>Grid demand growth</t>
        </is>
      </c>
      <c r="B5" t="n">
        <v>0.012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Demand</t>
        </is>
      </c>
      <c r="B2">
        <f>Inputs!B6</f>
        <v/>
      </c>
      <c r="C2" t="inlineStr">
        <is>
          <t>GWh</t>
        </is>
      </c>
    </row>
    <row r="3">
      <c r="A3" t="inlineStr">
        <is>
          <t>Coal generation</t>
        </is>
      </c>
      <c r="B3">
        <f>Inputs!B2</f>
        <v/>
      </c>
      <c r="C3" t="inlineStr">
        <is>
          <t>GWh</t>
        </is>
      </c>
    </row>
    <row r="4">
      <c r="A4" t="inlineStr">
        <is>
          <t>Natural gas generation</t>
        </is>
      </c>
      <c r="B4">
        <f>Inputs!B3</f>
        <v/>
      </c>
      <c r="C4" t="inlineStr">
        <is>
          <t>GWh</t>
        </is>
      </c>
    </row>
    <row r="5">
      <c r="A5" t="inlineStr">
        <is>
          <t>Wind generation</t>
        </is>
      </c>
      <c r="B5">
        <f>Inputs!B4</f>
        <v/>
      </c>
      <c r="C5" t="inlineStr">
        <is>
          <t>GWh</t>
        </is>
      </c>
    </row>
    <row r="6">
      <c r="A6" t="inlineStr">
        <is>
          <t>Solar generation</t>
        </is>
      </c>
      <c r="B6">
        <f>Inputs!B5</f>
        <v/>
      </c>
      <c r="C6" t="inlineStr">
        <is>
          <t>GWh</t>
        </is>
      </c>
    </row>
    <row r="7">
      <c r="A7" t="inlineStr">
        <is>
          <t>Other generation</t>
        </is>
      </c>
      <c r="B7">
        <f>B2-SUM(B3:B6)</f>
        <v/>
      </c>
      <c r="C7" t="inlineStr">
        <is>
          <t>GWh</t>
        </is>
      </c>
    </row>
    <row r="8">
      <c r="A8" t="inlineStr">
        <is>
          <t>Total emissions</t>
        </is>
      </c>
      <c r="B8">
        <f>(B3*Inputs!C2+B4*Inputs!C3)*1000</f>
        <v/>
      </c>
      <c r="C8" t="inlineStr">
        <is>
          <t>tCO2</t>
        </is>
      </c>
    </row>
    <row r="9">
      <c r="A9" t="inlineStr">
        <is>
          <t>Emissions intensity</t>
        </is>
      </c>
      <c r="B9">
        <f>B8/(B2*1000)</f>
        <v/>
      </c>
      <c r="C9" t="inlineStr">
        <is>
          <t>tCO2/MWh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Demand</t>
        </is>
      </c>
      <c r="B2">
        <f>Inputs!B6*(1+Assumptions!B5)</f>
        <v/>
      </c>
      <c r="C2" t="inlineStr">
        <is>
          <t>GWh</t>
        </is>
      </c>
    </row>
    <row r="3">
      <c r="A3" t="inlineStr">
        <is>
          <t>Coal generation</t>
        </is>
      </c>
      <c r="B3">
        <f>Inputs!B2*(1-Assumptions!B2)</f>
        <v/>
      </c>
      <c r="C3" t="inlineStr">
        <is>
          <t>GWh</t>
        </is>
      </c>
    </row>
    <row r="4">
      <c r="A4" t="inlineStr">
        <is>
          <t>Natural gas generation</t>
        </is>
      </c>
      <c r="B4">
        <f>Base!B4+(B2-Base!B2)+(Base!B3-B3)-(B5-Base!B5)-(B6-Base!B6)</f>
        <v/>
      </c>
      <c r="C4" t="inlineStr">
        <is>
          <t>GWh</t>
        </is>
      </c>
    </row>
    <row r="5">
      <c r="A5" t="inlineStr">
        <is>
          <t>Wind generation</t>
        </is>
      </c>
      <c r="B5">
        <f>Inputs!B4*(1+Assumptions!B3)</f>
        <v/>
      </c>
      <c r="C5" t="inlineStr">
        <is>
          <t>GWh</t>
        </is>
      </c>
    </row>
    <row r="6">
      <c r="A6" t="inlineStr">
        <is>
          <t>Solar generation</t>
        </is>
      </c>
      <c r="B6">
        <f>Inputs!B5*(1+Assumptions!B4)</f>
        <v/>
      </c>
      <c r="C6" t="inlineStr">
        <is>
          <t>GWh</t>
        </is>
      </c>
    </row>
    <row r="7">
      <c r="A7" t="inlineStr">
        <is>
          <t>Other generation</t>
        </is>
      </c>
      <c r="B7">
        <f>Base!B7</f>
        <v/>
      </c>
      <c r="C7" t="inlineStr">
        <is>
          <t>GWh</t>
        </is>
      </c>
    </row>
    <row r="8">
      <c r="A8" t="inlineStr">
        <is>
          <t>Total emissions</t>
        </is>
      </c>
      <c r="B8">
        <f>(B3*Inputs!C2+B4*Inputs!C3)*1000</f>
        <v/>
      </c>
      <c r="C8" t="inlineStr">
        <is>
          <t>tCO2</t>
        </is>
      </c>
    </row>
    <row r="9">
      <c r="A9" t="inlineStr">
        <is>
          <t>Emissions intensity</t>
        </is>
      </c>
      <c r="B9">
        <f>B8/(B2*1000)</f>
        <v/>
      </c>
      <c r="C9" t="inlineStr">
        <is>
          <t>tCO2/MWh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Value</t>
        </is>
      </c>
    </row>
    <row r="2">
      <c r="A2" t="inlineStr">
        <is>
          <t>Emissions reduction</t>
        </is>
      </c>
      <c r="B2">
        <f>Base!B8-Policy!B8</f>
        <v/>
      </c>
    </row>
    <row r="3">
      <c r="A3" t="inlineStr">
        <is>
          <t>Intensity reduction</t>
        </is>
      </c>
      <c r="B3">
        <f>Base!B9-Policy!B9</f>
        <v/>
      </c>
    </row>
    <row r="4">
      <c r="A4" t="inlineStr">
        <is>
          <t>Natural gas change</t>
        </is>
      </c>
      <c r="B4">
        <f>Policy!B4-Base!B4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2026-09-04T02:13:43Z</dcterms:created>
  <dcterms:modified xmlns:dcterms="http://purl.org/dc/terms/" xmlns:xsi="http://www.w3.org/2001/XMLSchema-instance" xsi:type="dcterms:W3CDTF">2026-09-04T02:13:43Z</dcterms:modified>
</cp:coreProperties>
</file>