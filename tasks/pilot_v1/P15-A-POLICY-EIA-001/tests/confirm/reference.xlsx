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76c3dd082a42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tion_Data" sheetId="1" r:id="R371484ff5ab54f36"/>
    <x:sheet xmlns:r="http://schemas.openxmlformats.org/officeDocument/2006/relationships" name="Policy_Assumptions" sheetId="2" r:id="Rdf3c465bdb4d4f2a"/>
    <x:sheet xmlns:r="http://schemas.openxmlformats.org/officeDocument/2006/relationships" name="Scenario_Model" sheetId="3" r:id="Rc759fac80c6d49d5"/>
    <x:sheet xmlns:r="http://schemas.openxmlformats.org/officeDocument/2006/relationships" name="Policy_Results" sheetId="4" r:id="Rfd48f9de5a354e1b"/>
    <x:sheet xmlns:r="http://schemas.openxmlformats.org/officeDocument/2006/relationships" name="Checks" sheetId="5" r:id="R93d2c0c97f4041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3087903ecf4065" /><Relationship Type="http://schemas.openxmlformats.org/officeDocument/2006/relationships/theme" Target="/xl/theme/theme1.xml" Id="Rea815b6a4eef4a60" /><Relationship Type="http://schemas.openxmlformats.org/officeDocument/2006/relationships/sharedStrings" Target="/xl/sharedStrings.xml" Id="Ra8579a06257f4788" /><Relationship Type="http://schemas.openxmlformats.org/officeDocument/2006/relationships/worksheet" Target="/xl/worksheets/sheet1.xml" Id="R371484ff5ab54f36" /><Relationship Type="http://schemas.openxmlformats.org/officeDocument/2006/relationships/worksheet" Target="/xl/worksheets/sheet2.xml" Id="Rdf3c465bdb4d4f2a" /><Relationship Type="http://schemas.openxmlformats.org/officeDocument/2006/relationships/worksheet" Target="/xl/worksheets/sheet3.xml" Id="Rc759fac80c6d49d5" /><Relationship Type="http://schemas.openxmlformats.org/officeDocument/2006/relationships/worksheet" Target="/xl/worksheets/sheet4.xml" Id="Rfd48f9de5a354e1b" /><Relationship Type="http://schemas.openxmlformats.org/officeDocument/2006/relationships/worksheet" Target="/xl/worksheets/sheet5.xml" Id="R93d2c0c97f4041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6" hidden="0" customWidth="1"/>
    <x:col min="3" max="3" width="16" hidden="0" customWidth="1"/>
    <x:col min="4" max="4" width="16" hidden="0" customWidth="1"/>
    <x:col min="5" max="5" width="23" hidden="0" customWidth="1"/>
    <x:col min="6" max="6" width="32" hidden="0" customWidth="1"/>
    <x:col min="7" max="7" width="40" hidden="0" customWidth="1"/>
  </x:cols>
  <x:sheetData>
    <x:row r="1" ht="26" customHeight="1">
      <x:c r="A1" s="14" t="str">
        <x:v>Regional Electricity Generation Input — Held-Out Scenario</x:v>
      </x:c>
      <x:c r="B1" s="14"/>
      <x:c r="C1" s="14"/>
      <x:c r="D1" s="14"/>
      <x:c r="E1" s="14"/>
      <x:c r="F1" s="14"/>
      <x:c r="G1" s="14"/>
    </x:row>
    <x:row r="2">
      <x:c r="A2" s="15"/>
      <x:c r="B2" s="15"/>
      <x:c r="C2" s="15"/>
      <x:c r="D2" s="15"/>
      <x:c r="E2" s="15"/>
      <x:c r="F2" s="15"/>
      <x:c r="G2" s="15"/>
    </x:row>
    <x:row r="3">
      <x:c r="A3" s="10" t="str">
        <x:v>Source category</x:v>
      </x:c>
      <x:c r="B3" s="10" t="str">
        <x:v>2022 (GWh)</x:v>
      </x:c>
      <x:c r="C3" s="10" t="str">
        <x:v>2023 (GWh)</x:v>
      </x:c>
      <x:c r="D3" s="10" t="str">
        <x:v>2024 (GWh)</x:v>
      </x:c>
      <x:c r="E3" s="10" t="str">
        <x:v>Emission factor (t/MWh)</x:v>
      </x:c>
      <x:c r="F3" s="10" t="str">
        <x:v>Policy relevance</x:v>
      </x:c>
      <x:c r="G3" s="10" t="str">
        <x:v>Source</x:v>
      </x:c>
    </x:row>
    <x:row r="4">
      <x:c r="A4" s="16" t="str">
        <x:v>Coal</x:v>
      </x:c>
      <x:c r="B4" s="17" t="n">
        <x:v>570000</x:v>
      </x:c>
      <x:c r="C4" s="17" t="n">
        <x:v>540000</x:v>
      </x:c>
      <x:c r="D4" s="17" t="n">
        <x:v>510000</x:v>
      </x:c>
      <x:c r="E4" s="16" t="n">
        <x:v>0.96</x:v>
      </x:c>
      <x:c r="F4" s="16" t="str">
        <x:v>Displaced high-emission generation</x:v>
      </x:c>
      <x:c r="G4" s="16" t="str">
        <x:v>https://www.eia.gov/electricity/data.php</x:v>
      </x:c>
    </x:row>
    <x:row r="5">
      <x:c r="A5" s="16" t="str">
        <x:v>Natural gas</x:v>
      </x:c>
      <x:c r="B5" s="17" t="n">
        <x:v>1360000</x:v>
      </x:c>
      <x:c r="C5" s="17" t="n">
        <x:v>1390000</x:v>
      </x:c>
      <x:c r="D5" s="17" t="n">
        <x:v>1420000</x:v>
      </x:c>
      <x:c r="E5" s="16" t="n">
        <x:v>0.38</x:v>
      </x:c>
      <x:c r="F5" s="16" t="str">
        <x:v>Residual thermal generation</x:v>
      </x:c>
      <x:c r="G5" s="16" t="str">
        <x:v>https://www.eia.gov/electricity/data.php</x:v>
      </x:c>
    </x:row>
    <x:row r="6">
      <x:c r="A6" s="16" t="str">
        <x:v>Wind</x:v>
      </x:c>
      <x:c r="B6" s="17" t="n">
        <x:v>445000</x:v>
      </x:c>
      <x:c r="C6" s="17" t="n">
        <x:v>480000</x:v>
      </x:c>
      <x:c r="D6" s="17" t="n">
        <x:v>515000</x:v>
      </x:c>
      <x:c r="E6" s="16" t="n">
        <x:v>0</x:v>
      </x:c>
      <x:c r="F6" s="16" t="str">
        <x:v>Zero-emission substitution</x:v>
      </x:c>
      <x:c r="G6" s="16" t="str">
        <x:v>https://www.eia.gov/electricity/data.php</x:v>
      </x:c>
    </x:row>
    <x:row r="7">
      <x:c r="A7" s="16" t="str">
        <x:v>Solar</x:v>
      </x:c>
      <x:c r="B7" s="17" t="n">
        <x:v>250000</x:v>
      </x:c>
      <x:c r="C7" s="17" t="n">
        <x:v>278000</x:v>
      </x:c>
      <x:c r="D7" s="17" t="n">
        <x:v>305000</x:v>
      </x:c>
      <x:c r="E7" s="16" t="n">
        <x:v>0</x:v>
      </x:c>
      <x:c r="F7" s="16" t="str">
        <x:v>Zero-emission substitution</x:v>
      </x:c>
      <x:c r="G7" s="16" t="str">
        <x:v>https://www.eia.gov/electricity/data.php</x:v>
      </x:c>
    </x:row>
    <x:row r="8">
      <x:c r="A8" s="16" t="str">
        <x:v>Demand</x:v>
      </x:c>
      <x:c r="B8" s="17" t="n">
        <x:v>3150000</x:v>
      </x:c>
      <x:c r="C8" s="17" t="n">
        <x:v>3230000</x:v>
      </x:c>
      <x:c r="D8" s="17" t="n">
        <x:v>3300000</x:v>
      </x:c>
      <x:c r="E8" s="16"/>
      <x:c r="F8" s="16" t="str">
        <x:v>Scenario denominator</x:v>
      </x:c>
      <x:c r="G8" s="16" t="str">
        <x:v>https://www.eia.gov/electricity/data.php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6" hidden="0" customWidth="1"/>
    <x:col min="3" max="3" width="16" hidden="0" customWidth="1"/>
    <x:col min="4" max="4" width="40" hidden="0" customWidth="1"/>
  </x:cols>
  <x:sheetData>
    <x:row r="1" ht="26" customHeight="1">
      <x:c r="A1" s="14" t="str">
        <x:v>Regional Generation Scenario Assumptions</x:v>
      </x:c>
      <x:c r="B1" s="14"/>
      <x:c r="C1" s="14"/>
      <x:c r="D1" s="14"/>
      <x:c r="E1" s="4"/>
    </x:row>
    <x:row r="2">
      <x:c r="A2" s="15"/>
      <x:c r="B2" s="15"/>
      <x:c r="C2" s="15"/>
      <x:c r="D2" s="15"/>
    </x:row>
    <x:row r="3">
      <x:c r="A3" s="10" t="str">
        <x:v>Assumption</x:v>
      </x:c>
      <x:c r="B3" s="10" t="str">
        <x:v>Base</x:v>
      </x:c>
      <x:c r="C3" s="10" t="str">
        <x:v>Policy case</x:v>
      </x:c>
      <x:c r="D3" s="10" t="str">
        <x:v>Interpretation</x:v>
      </x:c>
    </x:row>
    <x:row r="4">
      <x:c r="A4" s="16" t="str">
        <x:v>Coal displacement share</x:v>
      </x:c>
      <x:c r="B4" s="19" t="n">
        <x:v>0</x:v>
      </x:c>
      <x:c r="C4" s="19" t="n">
        <x:v>0.11</x:v>
      </x:c>
      <x:c r="D4" s="16" t="str">
        <x:v>Fraction of coal generation displaced</x:v>
      </x:c>
    </x:row>
    <x:row r="5">
      <x:c r="A5" s="16" t="str">
        <x:v>Wind uplift share</x:v>
      </x:c>
      <x:c r="B5" s="19" t="n">
        <x:v>0</x:v>
      </x:c>
      <x:c r="C5" s="19" t="n">
        <x:v>0.07</x:v>
      </x:c>
      <x:c r="D5" s="16" t="str">
        <x:v>Growth relative to 2024 wind generation</x:v>
      </x:c>
    </x:row>
    <x:row r="6">
      <x:c r="A6" s="16" t="str">
        <x:v>Solar uplift share</x:v>
      </x:c>
      <x:c r="B6" s="19" t="n">
        <x:v>0</x:v>
      </x:c>
      <x:c r="C6" s="19" t="n">
        <x:v>0.15</x:v>
      </x:c>
      <x:c r="D6" s="16" t="str">
        <x:v>Growth relative to 2024 solar generation</x:v>
      </x:c>
    </x:row>
    <x:row r="7">
      <x:c r="A7" s="16" t="str">
        <x:v>Grid demand growth</x:v>
      </x:c>
      <x:c r="B7" s="19" t="n">
        <x:v>0.012</x:v>
      </x:c>
      <x:c r="C7" s="19" t="n">
        <x:v>0.012</x:v>
      </x:c>
      <x:c r="D7" s="16" t="str">
        <x:v>Applies to forecast demand</x:v>
      </x:c>
    </x:row>
    <x:row r="8">
      <x:c r="A8" s="16" t="str">
        <x:v>Gas balancing factor</x:v>
      </x:c>
      <x:c r="B8" s="19" t="n">
        <x:v>1</x:v>
      </x:c>
      <x:c r="C8" s="19" t="n">
        <x:v>1</x:v>
      </x:c>
      <x:c r="D8" s="16" t="str">
        <x:v>Residual demand allocation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16" hidden="0" customWidth="1"/>
    <x:col min="6" max="6" width="40" hidden="0" customWidth="1"/>
  </x:cols>
  <x:sheetData>
    <x:row r="1" ht="26" customHeight="1">
      <x:c r="A1" s="14" t="str">
        <x:v>Regional Generation Scenario Dependency Model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10" t="str">
        <x:v>Metric</x:v>
      </x:c>
      <x:c r="B3" s="10" t="str">
        <x:v>Base case</x:v>
      </x:c>
      <x:c r="C3" s="10" t="str">
        <x:v>Policy case</x:v>
      </x:c>
      <x:c r="D3" s="10" t="str">
        <x:v>Delta</x:v>
      </x:c>
      <x:c r="E3" s="10" t="str">
        <x:v>Unit</x:v>
      </x:c>
      <x:c r="F3" s="10" t="str">
        <x:v>Dependency</x:v>
      </x:c>
    </x:row>
    <x:row r="4">
      <x:c r="A4" s="16" t="str">
        <x:v>Forecast demand</x:v>
      </x:c>
      <x:c r="B4" s="22" t="n">
        <x:f>'Generation_Data'!D8*(1+'Policy_Assumptions'!B7)</x:f>
        <x:v>3339600</x:v>
      </x:c>
      <x:c r="C4" s="22" t="n">
        <x:f>'Generation_Data'!D8*(1+'Policy_Assumptions'!C7)</x:f>
        <x:v>3339600</x:v>
      </x:c>
      <x:c r="D4" s="22" t="n">
        <x:f>C4-B4</x:f>
        <x:v>0</x:v>
      </x:c>
      <x:c r="E4" s="16" t="str">
        <x:v>GWh</x:v>
      </x:c>
      <x:c r="F4" s="16" t="str">
        <x:v>2024 demand × growth</x:v>
      </x:c>
    </x:row>
    <x:row r="5">
      <x:c r="A5" s="16" t="str">
        <x:v>Coal generation</x:v>
      </x:c>
      <x:c r="B5" s="22" t="n">
        <x:f>'Generation_Data'!D4*(1-'Policy_Assumptions'!B4)</x:f>
        <x:v>510000</x:v>
      </x:c>
      <x:c r="C5" s="22" t="n">
        <x:f>'Generation_Data'!D4*(1-'Policy_Assumptions'!C4)</x:f>
        <x:v>453900</x:v>
      </x:c>
      <x:c r="D5" s="22" t="n">
        <x:f>C5-B5</x:f>
        <x:v>-56100</x:v>
      </x:c>
      <x:c r="E5" s="16" t="str">
        <x:v>GWh</x:v>
      </x:c>
      <x:c r="F5" s="16" t="str">
        <x:v>2024 coal × displacement</x:v>
      </x:c>
    </x:row>
    <x:row r="6">
      <x:c r="A6" s="16" t="str">
        <x:v>Wind generation</x:v>
      </x:c>
      <x:c r="B6" s="22" t="n">
        <x:f>'Generation_Data'!D6*(1+'Policy_Assumptions'!B5)</x:f>
        <x:v>515000</x:v>
      </x:c>
      <x:c r="C6" s="22" t="n">
        <x:f>'Generation_Data'!D6*(1+'Policy_Assumptions'!C5)</x:f>
        <x:v>551050</x:v>
      </x:c>
      <x:c r="D6" s="22" t="n">
        <x:f>C6-B6</x:f>
        <x:v>36050</x:v>
      </x:c>
      <x:c r="E6" s="16" t="str">
        <x:v>GWh</x:v>
      </x:c>
      <x:c r="F6" s="16" t="str">
        <x:v>2024 wind × uplift</x:v>
      </x:c>
    </x:row>
    <x:row r="7">
      <x:c r="A7" s="16" t="str">
        <x:v>Solar generation</x:v>
      </x:c>
      <x:c r="B7" s="22" t="n">
        <x:f>'Generation_Data'!D7*(1+'Policy_Assumptions'!B6)</x:f>
        <x:v>305000</x:v>
      </x:c>
      <x:c r="C7" s="22" t="n">
        <x:f>'Generation_Data'!D7*(1+'Policy_Assumptions'!C6)</x:f>
        <x:v>350750</x:v>
      </x:c>
      <x:c r="D7" s="22" t="n">
        <x:f>C7-B7</x:f>
        <x:v>45750</x:v>
      </x:c>
      <x:c r="E7" s="16" t="str">
        <x:v>GWh</x:v>
      </x:c>
      <x:c r="F7" s="16" t="str">
        <x:v>2024 solar × uplift</x:v>
      </x:c>
    </x:row>
    <x:row r="8">
      <x:c r="A8" s="16" t="str">
        <x:v>Natural gas balancing generation</x:v>
      </x:c>
      <x:c r="B8" s="22" t="n">
        <x:f>(B4-B5-B6-B7)*'Policy_Assumptions'!B8</x:f>
        <x:v>2009600</x:v>
      </x:c>
      <x:c r="C8" s="22" t="n">
        <x:f>(C4-C5-C6-C7)*'Policy_Assumptions'!C8</x:f>
        <x:v>1983900</x:v>
      </x:c>
      <x:c r="D8" s="22" t="n">
        <x:f>C8-B8</x:f>
        <x:v>-25700</x:v>
      </x:c>
      <x:c r="E8" s="16" t="str">
        <x:v>GWh</x:v>
      </x:c>
      <x:c r="F8" s="16" t="str">
        <x:v>Demand less other sources</x:v>
      </x:c>
    </x:row>
    <x:row r="9">
      <x:c r="A9" s="16" t="str">
        <x:v>Emissions</x:v>
      </x:c>
      <x:c r="B9" s="22" t="n">
        <x:f>B5*'Generation_Data'!E4+B8*'Generation_Data'!E5</x:f>
        <x:v>1253248</x:v>
      </x:c>
      <x:c r="C9" s="22" t="n">
        <x:f>C5*'Generation_Data'!E4+C8*'Generation_Data'!E5</x:f>
        <x:v>1189626</x:v>
      </x:c>
      <x:c r="D9" s="22" t="n">
        <x:f>C9-B9</x:f>
        <x:v>-63622</x:v>
      </x:c>
      <x:c r="E9" s="16" t="str">
        <x:v>tCO₂</x:v>
      </x:c>
      <x:c r="F9" s="16" t="str">
        <x:v>Coal + gas factors</x:v>
      </x:c>
    </x:row>
    <x:row r="10">
      <x:c r="A10" s="16" t="str">
        <x:v>Emissions intensity</x:v>
      </x:c>
      <x:c r="B10" s="23" t="n">
        <x:f>B9/B4</x:f>
        <x:v>0.37526889447838063</x:v>
      </x:c>
      <x:c r="C10" s="23" t="n">
        <x:f>C9/C4</x:f>
        <x:v>0.35621810995328784</x:v>
      </x:c>
      <x:c r="D10" s="23" t="n">
        <x:f>C10-B10</x:f>
        <x:v>-0.01905078452509279</x:v>
      </x:c>
      <x:c r="E10" s="16" t="str">
        <x:v>tCO₂/MWh</x:v>
      </x:c>
      <x:c r="F10" s="16" t="str">
        <x:v>Emissions / demand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28" hidden="0" customWidth="1"/>
    <x:col min="4" max="4" width="34" hidden="0" customWidth="1"/>
  </x:cols>
  <x:sheetData>
    <x:row r="1" ht="26" customHeight="1">
      <x:c r="A1" s="14" t="str">
        <x:v>Regional Generation Scenario Results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10" t="str">
        <x:v>Result</x:v>
      </x:c>
      <x:c r="B3" s="10" t="str">
        <x:v>Value</x:v>
      </x:c>
      <x:c r="C3" s="10" t="str">
        <x:v>Decision relevance</x:v>
      </x:c>
      <x:c r="D3" s="10" t="str">
        <x:v>Evidence</x:v>
      </x:c>
    </x:row>
    <x:row r="4">
      <x:c r="A4" s="16" t="str">
        <x:v>Emissions reduction</x:v>
      </x:c>
      <x:c r="B4" s="22" t="n">
        <x:f>-'Scenario_Model'!D9</x:f>
        <x:v>63622</x:v>
      </x:c>
      <x:c r="C4" s="16" t="str">
        <x:v>Policy-case emissions delta</x:v>
      </x:c>
      <x:c r="D4" s="16" t="str">
        <x:v>Scenario_Model</x:v>
      </x:c>
    </x:row>
    <x:row r="5">
      <x:c r="A5" s="16" t="str">
        <x:v>Intensity change</x:v>
      </x:c>
      <x:c r="B5" s="22" t="n">
        <x:f>-'Scenario_Model'!D10</x:f>
        <x:v>0.01905078452509279</x:v>
      </x:c>
      <x:c r="C5" s="16" t="str">
        <x:v>Decarbonization indicator</x:v>
      </x:c>
      <x:c r="D5" s="16" t="str">
        <x:v>Scenario_Model</x:v>
      </x:c>
    </x:row>
    <x:row r="6">
      <x:c r="A6" s="16" t="str">
        <x:v>Gas balancing change</x:v>
      </x:c>
      <x:c r="B6" s="22" t="n">
        <x:f>'Scenario_Model'!D8</x:f>
        <x:v>-25700</x:v>
      </x:c>
      <x:c r="C6" s="16" t="str">
        <x:v>Reliability trade-off</x:v>
      </x:c>
      <x:c r="D6" s="16" t="str">
        <x:v>Scenario_Model</x:v>
      </x:c>
    </x:row>
    <x:row r="7">
      <x:c r="A7" s="16" t="str">
        <x:v>Recommendation</x:v>
      </x:c>
      <x:c r="B7" s="16" t="str">
        <x:f>IF(B4&gt;0,"Policy case reduces modeled emissions","Review scenario dependencies")</x:f>
        <x:v>Policy case reduces modeled emissions</x:v>
      </x:c>
      <x:c r="C7" s="16" t="str">
        <x:v>Decision support</x:v>
      </x:c>
      <x:c r="D7" s="16" t="str">
        <x:v>Benchmark-authored policy framing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5" hidden="0" customWidth="1"/>
    <x:col min="5" max="5" width="42" hidden="0" customWidth="1"/>
  </x:cols>
  <x:sheetData>
    <x:row r="1" ht="26" customHeight="1">
      <x:c r="A1" s="14" t="str">
        <x:v>Regional Generation Model Checks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10" t="str">
        <x:v>Check</x:v>
      </x:c>
      <x:c r="B3" s="10" t="str">
        <x:v>Actual</x:v>
      </x:c>
      <x:c r="C3" s="10" t="str">
        <x:v>Expected</x:v>
      </x:c>
      <x:c r="D3" s="10" t="str">
        <x:v>Status</x:v>
      </x:c>
      <x:c r="E3" s="10" t="str">
        <x:v>Notes</x:v>
      </x:c>
    </x:row>
    <x:row r="4">
      <x:c r="A4" s="16" t="str">
        <x:v>Demand balance</x:v>
      </x:c>
      <x:c r="B4" s="16" t="n">
        <x:f>'Scenario_Model'!C4-SUM('Scenario_Model'!C5:C8)</x:f>
        <x:v>0</x:v>
      </x:c>
      <x:c r="C4" s="16" t="n">
        <x:v>0</x:v>
      </x:c>
      <x:c r="D4" s="16" t="str">
        <x:f>IF(ABS(B4)&lt;0.1,"PASS","CHECK")</x:f>
        <x:v>PASS</x:v>
      </x:c>
      <x:c r="E4" s="16" t="str">
        <x:v>Demand equals modeled sources</x:v>
      </x:c>
    </x:row>
    <x:row r="5">
      <x:c r="A5" s="16" t="str">
        <x:v>Policy coal reduction</x:v>
      </x:c>
      <x:c r="B5" s="16" t="n">
        <x:f>'Scenario_Model'!C5-'Scenario_Model'!B5</x:f>
        <x:v>-56100</x:v>
      </x:c>
      <x:c r="C5" s="16"/>
      <x:c r="D5" s="16" t="str">
        <x:f>IF(B5&lt;0,"PASS","CHECK")</x:f>
        <x:v>PASS</x:v>
      </x:c>
      <x:c r="E5" s="16" t="str">
        <x:v>Policy case should lower coal</x:v>
      </x:c>
    </x:row>
    <x:row r="6">
      <x:c r="A6" s="16" t="str">
        <x:v>Emissions link</x:v>
      </x:c>
      <x:c r="B6" s="16" t="n">
        <x:f>'Scenario_Model'!C9-('Scenario_Model'!C5*'Generation_Data'!E4+'Scenario_Model'!C8*'Generation_Data'!E5)</x:f>
        <x:v>0</x:v>
      </x:c>
      <x:c r="C6" s="16" t="n">
        <x:v>0</x:v>
      </x:c>
      <x:c r="D6" s="16" t="str">
        <x:f>IF(ABS(B6)&lt;0.1,"PASS","CHECK")</x:f>
        <x:v>PASS</x:v>
      </x:c>
      <x:c r="E6" s="16" t="str">
        <x:v>Emissions use coal/gas factors</x:v>
      </x:c>
    </x:row>
    <x:row r="7">
      <x:c r="A7" s="16" t="str">
        <x:v>Protected historical data</x:v>
      </x:c>
      <x:c r="B7" s="16"/>
      <x:c r="C7" s="16"/>
      <x:c r="D7" s="16"/>
      <x:c r="E7" s="16" t="str">
        <x:v>Generation data must not be changed</x:v>
      </x:c>
    </x:row>
  </x:sheetData>
  <x:mergeCells>
    <x:mergeCell ref="A1:E1"/>
  </x:mergeCells>
  <x:pageMargins left="0.7" right="0.7" top="0.75" bottom="0.75" header="0.3" footer="0.3"/>
</x:worksheet>
</file>