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ebdd39728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ion_Data" sheetId="1" r:id="R18925c47469046fc"/>
    <x:sheet xmlns:r="http://schemas.openxmlformats.org/officeDocument/2006/relationships" name="Policy_Assumptions" sheetId="2" r:id="R5db65bca881542ae"/>
    <x:sheet xmlns:r="http://schemas.openxmlformats.org/officeDocument/2006/relationships" name="Scenario_Model" sheetId="3" r:id="Reb17361fe7aa48d2"/>
    <x:sheet xmlns:r="http://schemas.openxmlformats.org/officeDocument/2006/relationships" name="Policy_Results" sheetId="4" r:id="R937fb1e8713a40f5"/>
    <x:sheet xmlns:r="http://schemas.openxmlformats.org/officeDocument/2006/relationships" name="Checks" sheetId="5" r:id="R4f46f000d837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152891d074c36" /><Relationship Type="http://schemas.openxmlformats.org/officeDocument/2006/relationships/theme" Target="/xl/theme/theme1.xml" Id="R31679103de024f89" /><Relationship Type="http://schemas.openxmlformats.org/officeDocument/2006/relationships/sharedStrings" Target="/xl/sharedStrings.xml" Id="R29a481fb639b46bd" /><Relationship Type="http://schemas.openxmlformats.org/officeDocument/2006/relationships/worksheet" Target="/xl/worksheets/sheet1.xml" Id="R18925c47469046fc" /><Relationship Type="http://schemas.openxmlformats.org/officeDocument/2006/relationships/worksheet" Target="/xl/worksheets/sheet2.xml" Id="R5db65bca881542ae" /><Relationship Type="http://schemas.openxmlformats.org/officeDocument/2006/relationships/worksheet" Target="/xl/worksheets/sheet3.xml" Id="Reb17361fe7aa48d2" /><Relationship Type="http://schemas.openxmlformats.org/officeDocument/2006/relationships/worksheet" Target="/xl/worksheets/sheet4.xml" Id="R937fb1e8713a40f5" /><Relationship Type="http://schemas.openxmlformats.org/officeDocument/2006/relationships/worksheet" Target="/xl/worksheets/sheet5.xml" Id="R4f46f000d83744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23" hidden="0" customWidth="1"/>
    <x:col min="6" max="6" width="32" hidden="0" customWidth="1"/>
    <x:col min="7" max="7" width="40" hidden="0" customWidth="1"/>
  </x:cols>
  <x:sheetData>
    <x:row r="1" ht="26" customHeight="1">
      <x:c r="A1" s="14" t="str">
        <x:v>Public Electricity Generation Input — Policy Model Replacement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Source category</x:v>
      </x:c>
      <x:c r="B3" s="10" t="str">
        <x:v>2021 (GWh)</x:v>
      </x:c>
      <x:c r="C3" s="10" t="str">
        <x:v>2022 (GWh)</x:v>
      </x:c>
      <x:c r="D3" s="10" t="str">
        <x:v>2023 (GWh)</x:v>
      </x:c>
      <x:c r="E3" s="10" t="str">
        <x:v>Emission factor (t/MWh)</x:v>
      </x:c>
      <x:c r="F3" s="10" t="str">
        <x:v>Policy relevance</x:v>
      </x:c>
      <x:c r="G3" s="10" t="str">
        <x:v>Source</x:v>
      </x:c>
    </x:row>
    <x:row r="4">
      <x:c r="A4" s="16" t="str">
        <x:v>Coal</x:v>
      </x:c>
      <x:c r="B4" s="17" t="n">
        <x:v>899000</x:v>
      </x:c>
      <x:c r="C4" s="17" t="n">
        <x:v>828000</x:v>
      </x:c>
      <x:c r="D4" s="17" t="n">
        <x:v>675000</x:v>
      </x:c>
      <x:c r="E4" s="16" t="n">
        <x:v>1</x:v>
      </x:c>
      <x:c r="F4" s="16" t="str">
        <x:v>Displaced high-emission generation</x:v>
      </x:c>
      <x:c r="G4" s="16" t="str">
        <x:v>https://www.eia.gov/electricity/data.php</x:v>
      </x:c>
    </x:row>
    <x:row r="5">
      <x:c r="A5" s="16" t="str">
        <x:v>Natural gas</x:v>
      </x:c>
      <x:c r="B5" s="17" t="n">
        <x:v>1485000</x:v>
      </x:c>
      <x:c r="C5" s="17" t="n">
        <x:v>1687000</x:v>
      </x:c>
      <x:c r="D5" s="17" t="n">
        <x:v>1802000</x:v>
      </x:c>
      <x:c r="E5" s="16" t="n">
        <x:v>0.4</x:v>
      </x:c>
      <x:c r="F5" s="16" t="str">
        <x:v>Residual thermal generation</x:v>
      </x:c>
      <x:c r="G5" s="16" t="str">
        <x:v>https://www.eia.gov/electricity/data.php</x:v>
      </x:c>
    </x:row>
    <x:row r="6">
      <x:c r="A6" s="16" t="str">
        <x:v>Wind</x:v>
      </x:c>
      <x:c r="B6" s="17" t="n">
        <x:v>380000</x:v>
      </x:c>
      <x:c r="C6" s="17" t="n">
        <x:v>435000</x:v>
      </x:c>
      <x:c r="D6" s="17" t="n">
        <x:v>425000</x:v>
      </x:c>
      <x:c r="E6" s="16" t="n">
        <x:v>0</x:v>
      </x:c>
      <x:c r="F6" s="16" t="str">
        <x:v>Zero-emission substitution</x:v>
      </x:c>
      <x:c r="G6" s="16" t="str">
        <x:v>https://www.eia.gov/electricity/data.php</x:v>
      </x:c>
    </x:row>
    <x:row r="7">
      <x:c r="A7" s="16" t="str">
        <x:v>Solar</x:v>
      </x:c>
      <x:c r="B7" s="17" t="n">
        <x:v>115000</x:v>
      </x:c>
      <x:c r="C7" s="17" t="n">
        <x:v>145000</x:v>
      </x:c>
      <x:c r="D7" s="17" t="n">
        <x:v>238000</x:v>
      </x:c>
      <x:c r="E7" s="16" t="n">
        <x:v>0</x:v>
      </x:c>
      <x:c r="F7" s="16" t="str">
        <x:v>Zero-emission substitution</x:v>
      </x:c>
      <x:c r="G7" s="16" t="str">
        <x:v>https://www.eia.gov/electricity/data.php</x:v>
      </x:c>
    </x:row>
    <x:row r="8">
      <x:c r="A8" s="16" t="str">
        <x:v>Demand</x:v>
      </x:c>
      <x:c r="B8" s="17" t="n">
        <x:v>3980000</x:v>
      </x:c>
      <x:c r="C8" s="17" t="n">
        <x:v>4080000</x:v>
      </x:c>
      <x:c r="D8" s="17" t="n">
        <x:v>4000000</x:v>
      </x:c>
      <x:c r="E8" s="16"/>
      <x:c r="F8" s="16" t="str">
        <x:v>Scenario denominator</x:v>
      </x:c>
      <x:c r="G8" s="16" t="str">
        <x:v>https://www.eia.gov/electricity/data.php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40" hidden="0" customWidth="1"/>
  </x:cols>
  <x:sheetData>
    <x:row r="1" ht="26" customHeight="1">
      <x:c r="A1" s="14" t="str">
        <x:v>Policy Scenario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Assumption</x:v>
      </x:c>
      <x:c r="B3" s="10" t="str">
        <x:v>Base</x:v>
      </x:c>
      <x:c r="C3" s="10" t="str">
        <x:v>Policy case</x:v>
      </x:c>
      <x:c r="D3" s="10" t="str">
        <x:v>Interpretation</x:v>
      </x:c>
    </x:row>
    <x:row r="4">
      <x:c r="A4" s="16" t="str">
        <x:v>Coal displacement share</x:v>
      </x:c>
      <x:c r="B4" s="19" t="n">
        <x:v>0</x:v>
      </x:c>
      <x:c r="C4" s="19" t="n">
        <x:v>0.08</x:v>
      </x:c>
      <x:c r="D4" s="16" t="str">
        <x:v>Fraction of coal generation displaced</x:v>
      </x:c>
    </x:row>
    <x:row r="5">
      <x:c r="A5" s="16" t="str">
        <x:v>Wind uplift share</x:v>
      </x:c>
      <x:c r="B5" s="19" t="n">
        <x:v>0</x:v>
      </x:c>
      <x:c r="C5" s="19" t="n">
        <x:v>0.05</x:v>
      </x:c>
      <x:c r="D5" s="16" t="str">
        <x:v>Growth relative to 2023 wind generation</x:v>
      </x:c>
    </x:row>
    <x:row r="6">
      <x:c r="A6" s="16" t="str">
        <x:v>Solar uplift share</x:v>
      </x:c>
      <x:c r="B6" s="19" t="n">
        <x:v>0</x:v>
      </x:c>
      <x:c r="C6" s="19" t="n">
        <x:v>0.12</x:v>
      </x:c>
      <x:c r="D6" s="16" t="str">
        <x:v>Growth relative to 2023 solar generation</x:v>
      </x:c>
    </x:row>
    <x:row r="7">
      <x:c r="A7" s="16" t="str">
        <x:v>Grid demand growth</x:v>
      </x:c>
      <x:c r="B7" s="19" t="n">
        <x:v>0.01</x:v>
      </x:c>
      <x:c r="C7" s="19" t="n">
        <x:v>0.01</x:v>
      </x:c>
      <x:c r="D7" s="16" t="str">
        <x:v>Applies to forecast demand</x:v>
      </x:c>
    </x:row>
    <x:row r="8">
      <x:c r="A8" s="16" t="str">
        <x:v>Gas balancing factor</x:v>
      </x:c>
      <x:c r="B8" s="19" t="n">
        <x:v>1</x:v>
      </x:c>
      <x:c r="C8" s="19" t="n">
        <x:v>1</x:v>
      </x:c>
      <x:c r="D8" s="16" t="str">
        <x:v>Residual demand allocation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40" hidden="0" customWidth="1"/>
  </x:cols>
  <x:sheetData>
    <x:row r="1" ht="26" customHeight="1">
      <x:c r="A1" s="14" t="str">
        <x:v>Policy Scenario Dependency Model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Metric</x:v>
      </x:c>
      <x:c r="B3" s="10" t="str">
        <x:v>Base case</x:v>
      </x:c>
      <x:c r="C3" s="10" t="str">
        <x:v>Policy case</x:v>
      </x:c>
      <x:c r="D3" s="10" t="str">
        <x:v>Delta</x:v>
      </x:c>
      <x:c r="E3" s="10" t="str">
        <x:v>Unit</x:v>
      </x:c>
      <x:c r="F3" s="10" t="str">
        <x:v>Dependency</x:v>
      </x:c>
    </x:row>
    <x:row r="4">
      <x:c r="A4" s="16" t="str">
        <x:v>Forecast demand</x:v>
      </x:c>
      <x:c r="B4" s="22" t="n">
        <x:f>'Generation_Data'!D8*(1+'Policy_Assumptions'!B7)</x:f>
        <x:v>4040000</x:v>
      </x:c>
      <x:c r="C4" s="22" t="n">
        <x:f>'Generation_Data'!D8*(1+'Policy_Assumptions'!C7)</x:f>
        <x:v>4040000</x:v>
      </x:c>
      <x:c r="D4" s="22" t="n">
        <x:f>C4-B4</x:f>
        <x:v>0</x:v>
      </x:c>
      <x:c r="E4" s="16" t="str">
        <x:v>GWh</x:v>
      </x:c>
      <x:c r="F4" s="16" t="str">
        <x:v>2023 demand × growth</x:v>
      </x:c>
    </x:row>
    <x:row r="5">
      <x:c r="A5" s="16" t="str">
        <x:v>Coal generation</x:v>
      </x:c>
      <x:c r="B5" s="22" t="n">
        <x:f>'Generation_Data'!D4*(1-'Policy_Assumptions'!B4)</x:f>
        <x:v>675000</x:v>
      </x:c>
      <x:c r="C5" s="22" t="n">
        <x:f>'Generation_Data'!D4*(1-'Policy_Assumptions'!C4)</x:f>
        <x:v>621000</x:v>
      </x:c>
      <x:c r="D5" s="22" t="n">
        <x:f>C5-B5</x:f>
        <x:v>-54000</x:v>
      </x:c>
      <x:c r="E5" s="16" t="str">
        <x:v>GWh</x:v>
      </x:c>
      <x:c r="F5" s="16" t="str">
        <x:v>2023 coal × displacement</x:v>
      </x:c>
    </x:row>
    <x:row r="6">
      <x:c r="A6" s="16" t="str">
        <x:v>Wind generation</x:v>
      </x:c>
      <x:c r="B6" s="22" t="n">
        <x:f>'Generation_Data'!D6*(1+'Policy_Assumptions'!B5)</x:f>
        <x:v>425000</x:v>
      </x:c>
      <x:c r="C6" s="22" t="n">
        <x:f>'Generation_Data'!D6*(1+'Policy_Assumptions'!C5)</x:f>
        <x:v>446250</x:v>
      </x:c>
      <x:c r="D6" s="22" t="n">
        <x:f>C6-B6</x:f>
        <x:v>21250</x:v>
      </x:c>
      <x:c r="E6" s="16" t="str">
        <x:v>GWh</x:v>
      </x:c>
      <x:c r="F6" s="16" t="str">
        <x:v>2023 wind × uplift</x:v>
      </x:c>
    </x:row>
    <x:row r="7">
      <x:c r="A7" s="16" t="str">
        <x:v>Solar generation</x:v>
      </x:c>
      <x:c r="B7" s="22" t="n">
        <x:f>'Generation_Data'!D7*(1+'Policy_Assumptions'!B6)</x:f>
        <x:v>238000</x:v>
      </x:c>
      <x:c r="C7" s="22" t="n">
        <x:f>'Generation_Data'!D7*(1+'Policy_Assumptions'!C6)</x:f>
        <x:v>266560</x:v>
      </x:c>
      <x:c r="D7" s="22" t="n">
        <x:f>C7-B7</x:f>
        <x:v>28560</x:v>
      </x:c>
      <x:c r="E7" s="16" t="str">
        <x:v>GWh</x:v>
      </x:c>
      <x:c r="F7" s="16" t="str">
        <x:v>2023 solar × uplift</x:v>
      </x:c>
    </x:row>
    <x:row r="8">
      <x:c r="A8" s="16" t="str">
        <x:v>Natural gas balancing generation</x:v>
      </x:c>
      <x:c r="B8" s="22" t="n">
        <x:f>(B4-B5-B6-B7)*'Policy_Assumptions'!B8</x:f>
        <x:v>2702000</x:v>
      </x:c>
      <x:c r="C8" s="22" t="n">
        <x:f>(C4-C5-C6-C7)*'Policy_Assumptions'!C8</x:f>
        <x:v>2706190</x:v>
      </x:c>
      <x:c r="D8" s="22" t="n">
        <x:f>C8-B8</x:f>
        <x:v>4190</x:v>
      </x:c>
      <x:c r="E8" s="16" t="str">
        <x:v>GWh</x:v>
      </x:c>
      <x:c r="F8" s="16" t="str">
        <x:v>Demand less other sources</x:v>
      </x:c>
    </x:row>
    <x:row r="9">
      <x:c r="A9" s="16" t="str">
        <x:v>Emissions</x:v>
      </x:c>
      <x:c r="B9" s="22" t="n">
        <x:f>B5*'Generation_Data'!E4+B8*'Generation_Data'!E5</x:f>
        <x:v>1755800</x:v>
      </x:c>
      <x:c r="C9" s="22" t="n">
        <x:f>C5*'Generation_Data'!E4+C8*'Generation_Data'!E5</x:f>
        <x:v>1703476</x:v>
      </x:c>
      <x:c r="D9" s="22" t="n">
        <x:f>C9-B9</x:f>
        <x:v>-52324</x:v>
      </x:c>
      <x:c r="E9" s="16" t="str">
        <x:v>tCO₂</x:v>
      </x:c>
      <x:c r="F9" s="16" t="str">
        <x:v>Coal + gas factors</x:v>
      </x:c>
    </x:row>
    <x:row r="10">
      <x:c r="A10" s="16" t="str">
        <x:v>Emissions intensity</x:v>
      </x:c>
      <x:c r="B10" s="23" t="n">
        <x:f>B9/B4</x:f>
        <x:v>0.4346039603960396</x:v>
      </x:c>
      <x:c r="C10" s="23" t="n">
        <x:f>C9/C4</x:f>
        <x:v>0.42165247524752475</x:v>
      </x:c>
      <x:c r="D10" s="23" t="n">
        <x:f>C10-B10</x:f>
        <x:v>-0.012951485148514852</x:v>
      </x:c>
      <x:c r="E10" s="16" t="str">
        <x:v>tCO₂/MWh</x:v>
      </x:c>
      <x:c r="F10" s="16" t="str">
        <x:v>Emissions / demand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28" hidden="0" customWidth="1"/>
    <x:col min="4" max="4" width="34" hidden="0" customWidth="1"/>
  </x:cols>
  <x:sheetData>
    <x:row r="1" ht="26" customHeight="1">
      <x:c r="A1" s="14" t="str">
        <x:v>Policy Decision Results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Result</x:v>
      </x:c>
      <x:c r="B3" s="10" t="str">
        <x:v>Value</x:v>
      </x:c>
      <x:c r="C3" s="10" t="str">
        <x:v>Decision relevance</x:v>
      </x:c>
      <x:c r="D3" s="10" t="str">
        <x:v>Evidence</x:v>
      </x:c>
    </x:row>
    <x:row r="4">
      <x:c r="A4" s="16" t="str">
        <x:v>Emissions reduction</x:v>
      </x:c>
      <x:c r="B4" s="22" t="n">
        <x:f>-'Scenario_Model'!D9</x:f>
        <x:v>52324</x:v>
      </x:c>
      <x:c r="C4" s="16" t="str">
        <x:v>Policy-case emissions delta</x:v>
      </x:c>
      <x:c r="D4" s="16" t="str">
        <x:v>Scenario_Model</x:v>
      </x:c>
    </x:row>
    <x:row r="5">
      <x:c r="A5" s="16" t="str">
        <x:v>Intensity change</x:v>
      </x:c>
      <x:c r="B5" s="22" t="n">
        <x:f>-'Scenario_Model'!D10</x:f>
        <x:v>0.012951485148514852</x:v>
      </x:c>
      <x:c r="C5" s="16" t="str">
        <x:v>Decarbonization indicator</x:v>
      </x:c>
      <x:c r="D5" s="16" t="str">
        <x:v>Scenario_Model</x:v>
      </x:c>
    </x:row>
    <x:row r="6">
      <x:c r="A6" s="16" t="str">
        <x:v>Gas balancing change</x:v>
      </x:c>
      <x:c r="B6" s="22" t="n">
        <x:f>'Scenario_Model'!D8</x:f>
        <x:v>4190</x:v>
      </x:c>
      <x:c r="C6" s="16" t="str">
        <x:v>Reliability trade-off</x:v>
      </x:c>
      <x:c r="D6" s="16" t="str">
        <x:v>Scenario_Model</x:v>
      </x:c>
    </x:row>
    <x:row r="7">
      <x:c r="A7" s="16" t="str">
        <x:v>Recommendation</x:v>
      </x:c>
      <x:c r="B7" s="16" t="str">
        <x:f>IF(B4&gt;0,"Policy case reduces modeled emissions","Review scenario dependencies")</x:f>
        <x:v>Policy case reduces modeled emissions</x:v>
      </x:c>
      <x:c r="C7" s="16" t="str">
        <x:v>Decision support</x:v>
      </x:c>
      <x:c r="D7" s="16" t="str">
        <x:v>Benchmark-authored policy framing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42" hidden="0" customWidth="1"/>
  </x:cols>
  <x:sheetData>
    <x:row r="1" ht="26" customHeight="1">
      <x:c r="A1" s="14" t="str">
        <x:v>Policy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Demand balance</x:v>
      </x:c>
      <x:c r="B4" s="16" t="n">
        <x:f>'Scenario_Model'!C4-SUM('Scenario_Model'!C5:C8)</x:f>
        <x:v>0</x:v>
      </x:c>
      <x:c r="C4" s="16" t="n">
        <x:v>0</x:v>
      </x:c>
      <x:c r="D4" s="16" t="str">
        <x:f>IF(ABS(B4)&lt;0.1,"PASS","CHECK")</x:f>
        <x:v>PASS</x:v>
      </x:c>
      <x:c r="E4" s="16" t="str">
        <x:v>Demand equals modeled sources</x:v>
      </x:c>
    </x:row>
    <x:row r="5">
      <x:c r="A5" s="16" t="str">
        <x:v>Policy coal reduction</x:v>
      </x:c>
      <x:c r="B5" s="16" t="n">
        <x:f>'Scenario_Model'!C5-'Scenario_Model'!B5</x:f>
        <x:v>-54000</x:v>
      </x:c>
      <x:c r="C5" s="16"/>
      <x:c r="D5" s="16" t="str">
        <x:f>IF(B5&lt;0,"PASS","CHECK")</x:f>
        <x:v>PASS</x:v>
      </x:c>
      <x:c r="E5" s="16" t="str">
        <x:v>Policy case should lower coal</x:v>
      </x:c>
    </x:row>
    <x:row r="6">
      <x:c r="A6" s="16" t="str">
        <x:v>Emissions link</x:v>
      </x:c>
      <x:c r="B6" s="16" t="n">
        <x:f>'Scenario_Model'!C9-('Scenario_Model'!C5*'Generation_Data'!E4+'Scenario_Model'!C8*'Generation_Data'!E5)</x:f>
        <x:v>0</x:v>
      </x:c>
      <x:c r="C6" s="16" t="n">
        <x:v>0</x:v>
      </x:c>
      <x:c r="D6" s="16" t="str">
        <x:f>IF(ABS(B6)&lt;0.1,"PASS","CHECK")</x:f>
        <x:v>PASS</x:v>
      </x:c>
      <x:c r="E6" s="16" t="str">
        <x:v>Emissions use coal/gas factors</x:v>
      </x:c>
    </x:row>
    <x:row r="7">
      <x:c r="A7" s="16" t="str">
        <x:v>Protected historical data</x:v>
      </x:c>
      <x:c r="B7" s="16"/>
      <x:c r="C7" s="16"/>
      <x:c r="D7" s="16"/>
      <x:c r="E7" s="16" t="str">
        <x:v>Generation data must not be changed</x:v>
      </x:c>
    </x:row>
  </x:sheetData>
  <x:mergeCells>
    <x:mergeCell ref="A1:E1"/>
  </x:mergeCells>
  <x:pageMargins left="0.7" right="0.7" top="0.75" bottom="0.75" header="0.3" footer="0.3"/>
</x:worksheet>
</file>