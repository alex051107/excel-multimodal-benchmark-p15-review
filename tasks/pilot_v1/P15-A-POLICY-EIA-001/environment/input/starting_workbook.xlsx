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c1e0377fb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tion_Data" sheetId="1" r:id="R5aa919c1cec24520"/>
    <x:sheet xmlns:r="http://schemas.openxmlformats.org/officeDocument/2006/relationships" name="Policy_Assumptions" sheetId="2" r:id="R7a61866ad5be49b5"/>
    <x:sheet xmlns:r="http://schemas.openxmlformats.org/officeDocument/2006/relationships" name="Scenario_Model" sheetId="3" r:id="Rad04941837764a47"/>
    <x:sheet xmlns:r="http://schemas.openxmlformats.org/officeDocument/2006/relationships" name="Policy_Results" sheetId="4" r:id="Rd943a26bda35430b"/>
    <x:sheet xmlns:r="http://schemas.openxmlformats.org/officeDocument/2006/relationships" name="Checks" sheetId="5" r:id="Ra45c28ebbe75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b617e01564aac" /><Relationship Type="http://schemas.openxmlformats.org/officeDocument/2006/relationships/theme" Target="/xl/theme/theme1.xml" Id="R0ce544106beb4449" /><Relationship Type="http://schemas.openxmlformats.org/officeDocument/2006/relationships/sharedStrings" Target="/xl/sharedStrings.xml" Id="R64da3d91dafe43ae" /><Relationship Type="http://schemas.openxmlformats.org/officeDocument/2006/relationships/worksheet" Target="/xl/worksheets/sheet1.xml" Id="R5aa919c1cec24520" /><Relationship Type="http://schemas.openxmlformats.org/officeDocument/2006/relationships/worksheet" Target="/xl/worksheets/sheet2.xml" Id="R7a61866ad5be49b5" /><Relationship Type="http://schemas.openxmlformats.org/officeDocument/2006/relationships/worksheet" Target="/xl/worksheets/sheet3.xml" Id="Rad04941837764a47" /><Relationship Type="http://schemas.openxmlformats.org/officeDocument/2006/relationships/worksheet" Target="/xl/worksheets/sheet4.xml" Id="Rd943a26bda35430b" /><Relationship Type="http://schemas.openxmlformats.org/officeDocument/2006/relationships/worksheet" Target="/xl/worksheets/sheet5.xml" Id="Ra45c28ebbe7543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23" hidden="0" customWidth="1"/>
    <x:col min="6" max="6" width="32" hidden="0" customWidth="1"/>
    <x:col min="7" max="7" width="40" hidden="0" customWidth="1"/>
  </x:cols>
  <x:sheetData>
    <x:row r="1" ht="26" customHeight="1">
      <x:c r="A1" s="14" t="str">
        <x:v>Public Electricity Generation Input — Policy Model Replacement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Source category</x:v>
      </x:c>
      <x:c r="B3" s="10" t="str">
        <x:v>2021 (GWh)</x:v>
      </x:c>
      <x:c r="C3" s="10" t="str">
        <x:v>2022 (GWh)</x:v>
      </x:c>
      <x:c r="D3" s="10" t="str">
        <x:v>2023 (GWh)</x:v>
      </x:c>
      <x:c r="E3" s="10" t="str">
        <x:v>Emission factor (t/MWh)</x:v>
      </x:c>
      <x:c r="F3" s="10" t="str">
        <x:v>Policy relevance</x:v>
      </x:c>
      <x:c r="G3" s="10" t="str">
        <x:v>Source</x:v>
      </x:c>
    </x:row>
    <x:row r="4">
      <x:c r="A4" s="16" t="str">
        <x:v>Coal</x:v>
      </x:c>
      <x:c r="B4" s="17" t="n">
        <x:v>899000</x:v>
      </x:c>
      <x:c r="C4" s="17" t="n">
        <x:v>828000</x:v>
      </x:c>
      <x:c r="D4" s="17" t="n">
        <x:v>675000</x:v>
      </x:c>
      <x:c r="E4" s="16" t="n">
        <x:v>1</x:v>
      </x:c>
      <x:c r="F4" s="16" t="str">
        <x:v>Displaced high-emission generation</x:v>
      </x:c>
      <x:c r="G4" s="16" t="str">
        <x:v>https://www.eia.gov/electricity/data.php</x:v>
      </x:c>
    </x:row>
    <x:row r="5">
      <x:c r="A5" s="16" t="str">
        <x:v>Natural gas</x:v>
      </x:c>
      <x:c r="B5" s="17" t="n">
        <x:v>1485000</x:v>
      </x:c>
      <x:c r="C5" s="17" t="n">
        <x:v>1687000</x:v>
      </x:c>
      <x:c r="D5" s="17" t="n">
        <x:v>1802000</x:v>
      </x:c>
      <x:c r="E5" s="16" t="n">
        <x:v>0.4</x:v>
      </x:c>
      <x:c r="F5" s="16" t="str">
        <x:v>Residual thermal generation</x:v>
      </x:c>
      <x:c r="G5" s="16" t="str">
        <x:v>https://www.eia.gov/electricity/data.php</x:v>
      </x:c>
    </x:row>
    <x:row r="6">
      <x:c r="A6" s="16" t="str">
        <x:v>Wind</x:v>
      </x:c>
      <x:c r="B6" s="17" t="n">
        <x:v>380000</x:v>
      </x:c>
      <x:c r="C6" s="17" t="n">
        <x:v>435000</x:v>
      </x:c>
      <x:c r="D6" s="17" t="n">
        <x:v>425000</x:v>
      </x:c>
      <x:c r="E6" s="16" t="n">
        <x:v>0</x:v>
      </x:c>
      <x:c r="F6" s="16" t="str">
        <x:v>Zero-emission substitution</x:v>
      </x:c>
      <x:c r="G6" s="16" t="str">
        <x:v>https://www.eia.gov/electricity/data.php</x:v>
      </x:c>
    </x:row>
    <x:row r="7">
      <x:c r="A7" s="16" t="str">
        <x:v>Solar</x:v>
      </x:c>
      <x:c r="B7" s="17" t="n">
        <x:v>115000</x:v>
      </x:c>
      <x:c r="C7" s="17" t="n">
        <x:v>145000</x:v>
      </x:c>
      <x:c r="D7" s="17" t="n">
        <x:v>238000</x:v>
      </x:c>
      <x:c r="E7" s="16" t="n">
        <x:v>0</x:v>
      </x:c>
      <x:c r="F7" s="16" t="str">
        <x:v>Zero-emission substitution</x:v>
      </x:c>
      <x:c r="G7" s="16" t="str">
        <x:v>https://www.eia.gov/electricity/data.php</x:v>
      </x:c>
    </x:row>
    <x:row r="8">
      <x:c r="A8" s="16" t="str">
        <x:v>Demand</x:v>
      </x:c>
      <x:c r="B8" s="17" t="n">
        <x:v>3980000</x:v>
      </x:c>
      <x:c r="C8" s="17" t="n">
        <x:v>4080000</x:v>
      </x:c>
      <x:c r="D8" s="17" t="n">
        <x:v>4000000</x:v>
      </x:c>
      <x:c r="E8" s="16"/>
      <x:c r="F8" s="16" t="str">
        <x:v>Scenario denominator</x:v>
      </x:c>
      <x:c r="G8" s="16" t="str">
        <x:v>https://www.eia.gov/electricity/data.php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40" hidden="0" customWidth="1"/>
  </x:cols>
  <x:sheetData>
    <x:row r="1" ht="26" customHeight="1">
      <x:c r="A1" s="14" t="str">
        <x:v>Policy Scenario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Assumption</x:v>
      </x:c>
      <x:c r="B3" s="10" t="str">
        <x:v>Base</x:v>
      </x:c>
      <x:c r="C3" s="10" t="str">
        <x:v>Policy case</x:v>
      </x:c>
      <x:c r="D3" s="10" t="str">
        <x:v>Interpretation</x:v>
      </x:c>
    </x:row>
    <x:row r="4">
      <x:c r="A4" s="16" t="str">
        <x:v>Coal displacement share</x:v>
      </x:c>
      <x:c r="B4" s="19" t="n">
        <x:v>0</x:v>
      </x:c>
      <x:c r="C4" s="19" t="n">
        <x:v>0.08</x:v>
      </x:c>
      <x:c r="D4" s="16" t="str">
        <x:v>Fraction of coal generation displaced</x:v>
      </x:c>
    </x:row>
    <x:row r="5">
      <x:c r="A5" s="16" t="str">
        <x:v>Wind uplift share</x:v>
      </x:c>
      <x:c r="B5" s="19" t="n">
        <x:v>0</x:v>
      </x:c>
      <x:c r="C5" s="19" t="n">
        <x:v>0.05</x:v>
      </x:c>
      <x:c r="D5" s="16" t="str">
        <x:v>Growth relative to 2023 wind generation</x:v>
      </x:c>
    </x:row>
    <x:row r="6">
      <x:c r="A6" s="16" t="str">
        <x:v>Solar uplift share</x:v>
      </x:c>
      <x:c r="B6" s="19" t="n">
        <x:v>0</x:v>
      </x:c>
      <x:c r="C6" s="19" t="n">
        <x:v>0.12</x:v>
      </x:c>
      <x:c r="D6" s="16" t="str">
        <x:v>Growth relative to 2023 solar generation</x:v>
      </x:c>
    </x:row>
    <x:row r="7">
      <x:c r="A7" s="16" t="str">
        <x:v>Grid demand growth</x:v>
      </x:c>
      <x:c r="B7" s="19" t="n">
        <x:v>0.01</x:v>
      </x:c>
      <x:c r="C7" s="19" t="n">
        <x:v>0.01</x:v>
      </x:c>
      <x:c r="D7" s="16" t="str">
        <x:v>Applies to forecast demand</x:v>
      </x:c>
    </x:row>
    <x:row r="8">
      <x:c r="A8" s="16" t="str">
        <x:v>Gas balancing factor</x:v>
      </x:c>
      <x:c r="B8" s="19" t="n">
        <x:v>1</x:v>
      </x:c>
      <x:c r="C8" s="19" t="n">
        <x:v>1</x:v>
      </x:c>
      <x:c r="D8" s="16" t="str">
        <x:v>Residual demand allocation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40" hidden="0" customWidth="1"/>
  </x:cols>
  <x:sheetData>
    <x:row r="1" ht="26" customHeight="1">
      <x:c r="A1" s="14" t="str">
        <x:v>Policy Scenario Dependency Model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Metric</x:v>
      </x:c>
      <x:c r="B3" s="10" t="str">
        <x:v>Base case</x:v>
      </x:c>
      <x:c r="C3" s="10" t="str">
        <x:v>Policy case</x:v>
      </x:c>
      <x:c r="D3" s="10" t="str">
        <x:v>Delta</x:v>
      </x:c>
      <x:c r="E3" s="10" t="str">
        <x:v>Unit</x:v>
      </x:c>
      <x:c r="F3" s="10" t="str">
        <x:v>Dependency</x:v>
      </x:c>
    </x:row>
    <x:row r="4">
      <x:c r="A4" s="16" t="str">
        <x:v>Forecast demand</x:v>
      </x:c>
      <x:c r="B4" s="22"/>
      <x:c r="C4" s="22"/>
      <x:c r="D4" s="22"/>
      <x:c r="E4" s="16" t="str">
        <x:v>GWh</x:v>
      </x:c>
      <x:c r="F4" s="16" t="str">
        <x:v>2023 demand × growth</x:v>
      </x:c>
    </x:row>
    <x:row r="5">
      <x:c r="A5" s="16" t="str">
        <x:v>Coal generation</x:v>
      </x:c>
      <x:c r="B5" s="22"/>
      <x:c r="C5" s="22"/>
      <x:c r="D5" s="22"/>
      <x:c r="E5" s="16" t="str">
        <x:v>GWh</x:v>
      </x:c>
      <x:c r="F5" s="16" t="str">
        <x:v>2023 coal × displacement</x:v>
      </x:c>
    </x:row>
    <x:row r="6">
      <x:c r="A6" s="16" t="str">
        <x:v>Wind generation</x:v>
      </x:c>
      <x:c r="B6" s="22"/>
      <x:c r="C6" s="22"/>
      <x:c r="D6" s="22"/>
      <x:c r="E6" s="16" t="str">
        <x:v>GWh</x:v>
      </x:c>
      <x:c r="F6" s="16" t="str">
        <x:v>2023 wind × uplift</x:v>
      </x:c>
    </x:row>
    <x:row r="7">
      <x:c r="A7" s="16" t="str">
        <x:v>Solar generation</x:v>
      </x:c>
      <x:c r="B7" s="22"/>
      <x:c r="C7" s="22"/>
      <x:c r="D7" s="22"/>
      <x:c r="E7" s="16" t="str">
        <x:v>GWh</x:v>
      </x:c>
      <x:c r="F7" s="16" t="str">
        <x:v>2023 solar × uplift</x:v>
      </x:c>
    </x:row>
    <x:row r="8">
      <x:c r="A8" s="16" t="str">
        <x:v>Natural gas balancing generation</x:v>
      </x:c>
      <x:c r="B8" s="22"/>
      <x:c r="C8" s="22"/>
      <x:c r="D8" s="22"/>
      <x:c r="E8" s="16" t="str">
        <x:v>GWh</x:v>
      </x:c>
      <x:c r="F8" s="16" t="str">
        <x:v>Demand less other sources</x:v>
      </x:c>
    </x:row>
    <x:row r="9">
      <x:c r="A9" s="16" t="str">
        <x:v>Emissions</x:v>
      </x:c>
      <x:c r="B9" s="22"/>
      <x:c r="C9" s="22"/>
      <x:c r="D9" s="22"/>
      <x:c r="E9" s="16" t="str">
        <x:v>tCO₂</x:v>
      </x:c>
      <x:c r="F9" s="16" t="str">
        <x:v>Coal + gas factors</x:v>
      </x:c>
    </x:row>
    <x:row r="10">
      <x:c r="A10" s="16" t="str">
        <x:v>Emissions intensity</x:v>
      </x:c>
      <x:c r="B10" s="23"/>
      <x:c r="C10" s="23"/>
      <x:c r="D10" s="23"/>
      <x:c r="E10" s="16" t="str">
        <x:v>tCO₂/MWh</x:v>
      </x:c>
      <x:c r="F10" s="16" t="str">
        <x:v>Emissions / demand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28" hidden="0" customWidth="1"/>
    <x:col min="4" max="4" width="34" hidden="0" customWidth="1"/>
  </x:cols>
  <x:sheetData>
    <x:row r="1" ht="26" customHeight="1">
      <x:c r="A1" s="14" t="str">
        <x:v>Policy Decision Results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Result</x:v>
      </x:c>
      <x:c r="B3" s="10" t="str">
        <x:v>Value</x:v>
      </x:c>
      <x:c r="C3" s="10" t="str">
        <x:v>Decision relevance</x:v>
      </x:c>
      <x:c r="D3" s="10" t="str">
        <x:v>Evidence</x:v>
      </x:c>
    </x:row>
    <x:row r="4">
      <x:c r="A4" s="16" t="str">
        <x:v>Emissions reduction</x:v>
      </x:c>
      <x:c r="B4" s="22"/>
      <x:c r="C4" s="16" t="str">
        <x:v>Policy-case emissions delta</x:v>
      </x:c>
      <x:c r="D4" s="16" t="str">
        <x:v>Scenario_Model</x:v>
      </x:c>
    </x:row>
    <x:row r="5">
      <x:c r="A5" s="16" t="str">
        <x:v>Intensity change</x:v>
      </x:c>
      <x:c r="B5" s="22"/>
      <x:c r="C5" s="16" t="str">
        <x:v>Decarbonization indicator</x:v>
      </x:c>
      <x:c r="D5" s="16" t="str">
        <x:v>Scenario_Model</x:v>
      </x:c>
    </x:row>
    <x:row r="6">
      <x:c r="A6" s="16" t="str">
        <x:v>Gas balancing change</x:v>
      </x:c>
      <x:c r="B6" s="22"/>
      <x:c r="C6" s="16" t="str">
        <x:v>Reliability trade-off</x:v>
      </x:c>
      <x:c r="D6" s="16" t="str">
        <x:v>Scenario_Model</x:v>
      </x:c>
    </x:row>
    <x:row r="7">
      <x:c r="A7" s="16" t="str">
        <x:v>Recommendation</x:v>
      </x:c>
      <x:c r="B7" s="16"/>
      <x:c r="C7" s="16" t="str">
        <x:v>Decision support</x:v>
      </x:c>
      <x:c r="D7" s="16" t="str">
        <x:v>Benchmark-authored policy framing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42" hidden="0" customWidth="1"/>
  </x:cols>
  <x:sheetData>
    <x:row r="1" ht="26" customHeight="1">
      <x:c r="A1" s="14" t="str">
        <x:v>Policy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Demand balance</x:v>
      </x:c>
      <x:c r="B4" s="16" t="n">
        <x:f>'Scenario_Model'!C4-SUM('Scenario_Model'!C5:C8)</x:f>
        <x:v>0</x:v>
      </x:c>
      <x:c r="C4" s="16" t="n">
        <x:v>0</x:v>
      </x:c>
      <x:c r="D4" s="16" t="str">
        <x:f>IF(ABS(B4)&lt;0.1,"PASS","CHECK")</x:f>
        <x:v>PASS</x:v>
      </x:c>
      <x:c r="E4" s="16" t="str">
        <x:v>Demand equals modeled sources</x:v>
      </x:c>
    </x:row>
    <x:row r="5">
      <x:c r="A5" s="16" t="str">
        <x:v>Policy coal reduction</x:v>
      </x:c>
      <x:c r="B5" s="16" t="n">
        <x:f>'Scenario_Model'!C5-'Scenario_Model'!B5</x:f>
        <x:v>0</x:v>
      </x:c>
      <x:c r="C5" s="16"/>
      <x:c r="D5" s="16" t="str">
        <x:f>IF(B5&lt;0,"PASS","CHECK")</x:f>
        <x:v>CHECK</x:v>
      </x:c>
      <x:c r="E5" s="16" t="str">
        <x:v>Policy case should lower coal</x:v>
      </x:c>
    </x:row>
    <x:row r="6">
      <x:c r="A6" s="16" t="str">
        <x:v>Emissions link</x:v>
      </x:c>
      <x:c r="B6" s="16" t="n">
        <x:f>'Scenario_Model'!C9-('Scenario_Model'!C5*'Generation_Data'!E4+'Scenario_Model'!C8*'Generation_Data'!E5)</x:f>
        <x:v>0</x:v>
      </x:c>
      <x:c r="C6" s="16" t="n">
        <x:v>0</x:v>
      </x:c>
      <x:c r="D6" s="16" t="str">
        <x:f>IF(ABS(B6)&lt;0.1,"PASS","CHECK")</x:f>
        <x:v>PASS</x:v>
      </x:c>
      <x:c r="E6" s="16" t="str">
        <x:v>Emissions use coal/gas factors</x:v>
      </x:c>
    </x:row>
    <x:row r="7">
      <x:c r="A7" s="16" t="str">
        <x:v>Protected historical data</x:v>
      </x:c>
      <x:c r="B7" s="16"/>
      <x:c r="C7" s="16"/>
      <x:c r="D7" s="16"/>
      <x:c r="E7" s="16" t="str">
        <x:v>Generation data must not be changed</x:v>
      </x:c>
    </x:row>
  </x:sheetData>
  <x:mergeCells>
    <x:mergeCell ref="A1:E1"/>
  </x:mergeCells>
  <x:pageMargins left="0.7" right="0.7" top="0.75" bottom="0.75" header="0.3" footer="0.3"/>
</x:worksheet>
</file>