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a9d072376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cbb52088f7754956"/>
    <x:sheet xmlns:r="http://schemas.openxmlformats.org/officeDocument/2006/relationships" name="Policy_Assumptions" sheetId="2" r:id="R7d8c9d6e2a754c9f"/>
    <x:sheet xmlns:r="http://schemas.openxmlformats.org/officeDocument/2006/relationships" name="Scenario_Model" sheetId="3" r:id="Rd034a6542f8f4124"/>
    <x:sheet xmlns:r="http://schemas.openxmlformats.org/officeDocument/2006/relationships" name="Policy_Results" sheetId="4" r:id="R650a22cd747946f9"/>
    <x:sheet xmlns:r="http://schemas.openxmlformats.org/officeDocument/2006/relationships" name="Checks" sheetId="5" r:id="Ra2e64e5b1011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c291931b74051" /><Relationship Type="http://schemas.openxmlformats.org/officeDocument/2006/relationships/theme" Target="/xl/theme/theme1.xml" Id="R20b41bea894346d1" /><Relationship Type="http://schemas.openxmlformats.org/officeDocument/2006/relationships/sharedStrings" Target="/xl/sharedStrings.xml" Id="R8208181108f24f32" /><Relationship Type="http://schemas.openxmlformats.org/officeDocument/2006/relationships/worksheet" Target="/xl/worksheets/sheet1.xml" Id="Rcbb52088f7754956" /><Relationship Type="http://schemas.openxmlformats.org/officeDocument/2006/relationships/worksheet" Target="/xl/worksheets/sheet2.xml" Id="R7d8c9d6e2a754c9f" /><Relationship Type="http://schemas.openxmlformats.org/officeDocument/2006/relationships/worksheet" Target="/xl/worksheets/sheet3.xml" Id="Rd034a6542f8f4124" /><Relationship Type="http://schemas.openxmlformats.org/officeDocument/2006/relationships/worksheet" Target="/xl/worksheets/sheet4.xml" Id="R650a22cd747946f9" /><Relationship Type="http://schemas.openxmlformats.org/officeDocument/2006/relationships/worksheet" Target="/xl/worksheets/sheet5.xml" Id="Ra2e64e5b1011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Public Electricity Generation Input — Policy Model Replacement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2021 (GWh)</x:v>
      </x:c>
      <x:c r="C3" s="10" t="str">
        <x:v>2022 (GWh)</x:v>
      </x:c>
      <x:c r="D3" s="10" t="str">
        <x:v>2023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899000</x:v>
      </x:c>
      <x:c r="C4" s="17" t="n">
        <x:v>828000</x:v>
      </x:c>
      <x:c r="D4" s="17" t="n">
        <x:v>999999</x:v>
      </x:c>
      <x:c r="E4" s="16" t="n">
        <x:v>1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1485000</x:v>
      </x:c>
      <x:c r="C5" s="17" t="n">
        <x:v>1687000</x:v>
      </x:c>
      <x:c r="D5" s="17" t="n">
        <x:v>1802000</x:v>
      </x:c>
      <x:c r="E5" s="16" t="n">
        <x:v>0.4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380000</x:v>
      </x:c>
      <x:c r="C6" s="17" t="n">
        <x:v>435000</x:v>
      </x:c>
      <x:c r="D6" s="17" t="n">
        <x:v>425000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115000</x:v>
      </x:c>
      <x:c r="C7" s="17" t="n">
        <x:v>145000</x:v>
      </x:c>
      <x:c r="D7" s="17" t="n">
        <x:v>238000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3980000</x:v>
      </x:c>
      <x:c r="C8" s="17" t="n">
        <x:v>4080000</x:v>
      </x:c>
      <x:c r="D8" s="17" t="n">
        <x:v>4000000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Policy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0.08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0.05</x:v>
      </x:c>
      <x:c r="D5" s="16" t="str">
        <x:v>Growth relative to 2023 wind generation</x:v>
      </x:c>
    </x:row>
    <x:row r="6">
      <x:c r="A6" s="16" t="str">
        <x:v>Solar uplift share</x:v>
      </x:c>
      <x:c r="B6" s="19" t="n">
        <x:v>0</x:v>
      </x:c>
      <x:c r="C6" s="19" t="n">
        <x:v>0.12</x:v>
      </x:c>
      <x:c r="D6" s="16" t="str">
        <x:v>Growth relative to 2023 solar generation</x:v>
      </x:c>
    </x:row>
    <x:row r="7">
      <x:c r="A7" s="16" t="str">
        <x:v>Grid demand growth</x:v>
      </x:c>
      <x:c r="B7" s="19" t="n">
        <x:v>0.01</x:v>
      </x:c>
      <x:c r="C7" s="19" t="n">
        <x:v>0.01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Policy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 t="n">
        <x:f>'Generation_Data'!D8*(1+'Policy_Assumptions'!B7)</x:f>
        <x:v>4040000</x:v>
      </x:c>
      <x:c r="C4" s="22" t="n">
        <x:f>'Generation_Data'!D8*(1+'Policy_Assumptions'!C7)</x:f>
        <x:v>4040000</x:v>
      </x:c>
      <x:c r="D4" s="22" t="n">
        <x:f>C4-B4</x:f>
        <x:v>0</x:v>
      </x:c>
      <x:c r="E4" s="16" t="str">
        <x:v>GWh</x:v>
      </x:c>
      <x:c r="F4" s="16" t="str">
        <x:v>2023 demand × growth</x:v>
      </x:c>
    </x:row>
    <x:row r="5">
      <x:c r="A5" s="16" t="str">
        <x:v>Coal generation</x:v>
      </x:c>
      <x:c r="B5" s="22" t="n">
        <x:f>'Generation_Data'!D4*(1-'Policy_Assumptions'!B4)</x:f>
        <x:v>999999</x:v>
      </x:c>
      <x:c r="C5" s="22" t="n">
        <x:f>'Generation_Data'!D4*(1-'Policy_Assumptions'!C4)</x:f>
        <x:v>919999.0800000001</x:v>
      </x:c>
      <x:c r="D5" s="22" t="n">
        <x:f>C5-B5</x:f>
        <x:v>-79999.91999999993</x:v>
      </x:c>
      <x:c r="E5" s="16" t="str">
        <x:v>GWh</x:v>
      </x:c>
      <x:c r="F5" s="16" t="str">
        <x:v>2023 coal × displacement</x:v>
      </x:c>
    </x:row>
    <x:row r="6">
      <x:c r="A6" s="16" t="str">
        <x:v>Wind generation</x:v>
      </x:c>
      <x:c r="B6" s="22" t="n">
        <x:f>'Generation_Data'!D6*(1+'Policy_Assumptions'!B5)</x:f>
        <x:v>425000</x:v>
      </x:c>
      <x:c r="C6" s="22" t="n">
        <x:f>'Generation_Data'!D6*(1+'Policy_Assumptions'!C5)</x:f>
        <x:v>446250</x:v>
      </x:c>
      <x:c r="D6" s="22" t="n">
        <x:f>C6-B6</x:f>
        <x:v>21250</x:v>
      </x:c>
      <x:c r="E6" s="16" t="str">
        <x:v>GWh</x:v>
      </x:c>
      <x:c r="F6" s="16" t="str">
        <x:v>2023 wind × uplift</x:v>
      </x:c>
    </x:row>
    <x:row r="7">
      <x:c r="A7" s="16" t="str">
        <x:v>Solar generation</x:v>
      </x:c>
      <x:c r="B7" s="22" t="n">
        <x:f>'Generation_Data'!D7*(1+'Policy_Assumptions'!B6)</x:f>
        <x:v>238000</x:v>
      </x:c>
      <x:c r="C7" s="22" t="n">
        <x:f>'Generation_Data'!D7*(1+'Policy_Assumptions'!C6)</x:f>
        <x:v>266560</x:v>
      </x:c>
      <x:c r="D7" s="22" t="n">
        <x:f>C7-B7</x:f>
        <x:v>28560</x:v>
      </x:c>
      <x:c r="E7" s="16" t="str">
        <x:v>GWh</x:v>
      </x:c>
      <x:c r="F7" s="16" t="str">
        <x:v>2023 solar × uplift</x:v>
      </x:c>
    </x:row>
    <x:row r="8">
      <x:c r="A8" s="16" t="str">
        <x:v>Natural gas balancing generation</x:v>
      </x:c>
      <x:c r="B8" s="22" t="n">
        <x:f>(B4-B5-B6-B7)*'Policy_Assumptions'!B8</x:f>
        <x:v>2377001</x:v>
      </x:c>
      <x:c r="C8" s="22" t="n">
        <x:f>(C4-C5-C6-C7)*'Policy_Assumptions'!C8</x:f>
        <x:v>2407190.92</x:v>
      </x:c>
      <x:c r="D8" s="22" t="n">
        <x:f>C8-B8</x:f>
        <x:v>30189.919999999925</x:v>
      </x:c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 t="n">
        <x:f>B5*'Generation_Data'!E4+B8*'Generation_Data'!E5</x:f>
        <x:v>1950799.4</x:v>
      </x:c>
      <x:c r="C9" s="22" t="n">
        <x:f>C5*'Generation_Data'!E4+C8*'Generation_Data'!E5</x:f>
        <x:v>1882875.448</x:v>
      </x:c>
      <x:c r="D9" s="22" t="n">
        <x:f>C9-B9</x:f>
        <x:v>-67923.95199999982</x:v>
      </x:c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 t="n">
        <x:f>B9/B4</x:f>
        <x:v>0.4828711386138614</x:v>
      </x:c>
      <x:c r="C10" s="23" t="n">
        <x:f>C9/C4</x:f>
        <x:v>0.4660582792079208</x:v>
      </x:c>
      <x:c r="D10" s="23" t="n">
        <x:f>C10-B10</x:f>
        <x:v>-0.016812859405940572</x:v>
      </x:c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Policy Decision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 t="n">
        <x:f>-'Scenario_Model'!D9</x:f>
        <x:v>67923.95199999982</x:v>
      </x:c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 t="n">
        <x:f>-'Scenario_Model'!D10</x:f>
        <x:v>0.016812859405940572</x:v>
      </x:c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 t="n">
        <x:f>'Scenario_Model'!D8</x:f>
        <x:v>30189.919999999925</x:v>
      </x:c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 t="str">
        <x:f>IF(B4&gt;0,"Policy case reduces modeled emissions","Review scenario dependencies")</x:f>
        <x:v>Policy case reduces modeled emissions</x:v>
      </x:c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Policy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-79999.91999999993</x:v>
      </x:c>
      <x:c r="C5" s="16"/>
      <x:c r="D5" s="16" t="str">
        <x:f>IF(B5&lt;0,"PASS","CHECK")</x:f>
        <x:v>PASS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