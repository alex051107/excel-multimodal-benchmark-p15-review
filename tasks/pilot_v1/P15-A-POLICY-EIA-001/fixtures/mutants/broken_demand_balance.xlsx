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eneration_Data" sheetId="1" state="visible" r:id="rId1"/>
    <sheet xmlns:r="http://schemas.openxmlformats.org/officeDocument/2006/relationships" name="Policy_Assumptions" sheetId="2" state="visible" r:id="rId2"/>
    <sheet xmlns:r="http://schemas.openxmlformats.org/officeDocument/2006/relationships" name="Scenario_Model" sheetId="3" state="visible" r:id="rId3"/>
    <sheet xmlns:r="http://schemas.openxmlformats.org/officeDocument/2006/relationships" name="Policy_Results" sheetId="4" state="visible" r:id="rId4"/>
    <sheet xmlns:r="http://schemas.openxmlformats.org/officeDocument/2006/relationships" name="Checks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23" customWidth="1" min="5" max="5"/>
    <col width="32" customWidth="1" min="6" max="6"/>
    <col width="40" customWidth="1" min="7" max="7"/>
  </cols>
  <sheetData>
    <row r="1" ht="26" customHeight="1">
      <c r="A1" s="14" t="inlineStr">
        <is>
          <t>Public Electricity Generation Input — Policy Model Replacement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10" t="inlineStr">
        <is>
          <t>Source category</t>
        </is>
      </c>
      <c r="B3" s="10" t="inlineStr">
        <is>
          <t>2021 (GWh)</t>
        </is>
      </c>
      <c r="C3" s="10" t="inlineStr">
        <is>
          <t>2022 (GWh)</t>
        </is>
      </c>
      <c r="D3" s="10" t="inlineStr">
        <is>
          <t>2023 (GWh)</t>
        </is>
      </c>
      <c r="E3" s="10" t="inlineStr">
        <is>
          <t>Emission factor (t/MWh)</t>
        </is>
      </c>
      <c r="F3" s="10" t="inlineStr">
        <is>
          <t>Policy relevance</t>
        </is>
      </c>
      <c r="G3" s="10" t="inlineStr">
        <is>
          <t>Source</t>
        </is>
      </c>
    </row>
    <row r="4">
      <c r="A4" s="16" t="inlineStr">
        <is>
          <t>Coal</t>
        </is>
      </c>
      <c r="B4" s="24" t="n">
        <v>899000</v>
      </c>
      <c r="C4" s="24" t="n">
        <v>828000</v>
      </c>
      <c r="D4" s="24" t="n">
        <v>675000</v>
      </c>
      <c r="E4" s="16" t="n">
        <v>1</v>
      </c>
      <c r="F4" s="16" t="inlineStr">
        <is>
          <t>Displaced high-emission generation</t>
        </is>
      </c>
      <c r="G4" s="16" t="inlineStr">
        <is>
          <t>https://www.eia.gov/electricity/annual/html/epa_03_01_a.html</t>
        </is>
      </c>
    </row>
    <row r="5">
      <c r="A5" s="16" t="inlineStr">
        <is>
          <t>Natural gas</t>
        </is>
      </c>
      <c r="B5" s="24" t="n">
        <v>1485000</v>
      </c>
      <c r="C5" s="24" t="n">
        <v>1687000</v>
      </c>
      <c r="D5" s="24" t="n">
        <v>1802000</v>
      </c>
      <c r="E5" s="16" t="n">
        <v>0.4</v>
      </c>
      <c r="F5" s="16" t="inlineStr">
        <is>
          <t>Residual thermal generation</t>
        </is>
      </c>
      <c r="G5" s="16" t="inlineStr">
        <is>
          <t>https://www.eia.gov/electricity/annual/html/epa_03_01_a.html</t>
        </is>
      </c>
    </row>
    <row r="6">
      <c r="A6" s="16" t="inlineStr">
        <is>
          <t>Wind</t>
        </is>
      </c>
      <c r="B6" s="24" t="n">
        <v>380000</v>
      </c>
      <c r="C6" s="24" t="n">
        <v>435000</v>
      </c>
      <c r="D6" s="24" t="n">
        <v>425000</v>
      </c>
      <c r="E6" s="16" t="n">
        <v>0</v>
      </c>
      <c r="F6" s="16" t="inlineStr">
        <is>
          <t>Zero-emission substitution</t>
        </is>
      </c>
      <c r="G6" s="16" t="inlineStr">
        <is>
          <t>https://www.eia.gov/electricity/annual/html/epa_03_01_a.html</t>
        </is>
      </c>
    </row>
    <row r="7">
      <c r="A7" s="16" t="inlineStr">
        <is>
          <t>Solar</t>
        </is>
      </c>
      <c r="B7" s="24" t="n">
        <v>115000</v>
      </c>
      <c r="C7" s="24" t="n">
        <v>145000</v>
      </c>
      <c r="D7" s="24" t="n">
        <v>238000</v>
      </c>
      <c r="E7" s="16" t="n">
        <v>0</v>
      </c>
      <c r="F7" s="16" t="inlineStr">
        <is>
          <t>Zero-emission substitution</t>
        </is>
      </c>
      <c r="G7" s="16" t="inlineStr">
        <is>
          <t>https://www.eia.gov/electricity/annual/html/epa_03_01_a.html</t>
        </is>
      </c>
    </row>
    <row r="8">
      <c r="A8" s="16" t="inlineStr">
        <is>
          <t>Demand</t>
        </is>
      </c>
      <c r="B8" s="24" t="n">
        <v>3980000</v>
      </c>
      <c r="C8" s="24" t="n">
        <v>4080000</v>
      </c>
      <c r="D8" s="24" t="n">
        <v>4000000</v>
      </c>
      <c r="E8" s="16" t="n"/>
      <c r="F8" s="16" t="inlineStr">
        <is>
          <t>Scenario denominator</t>
        </is>
      </c>
      <c r="G8" s="16" t="inlineStr">
        <is>
          <t>https://www.eia.gov/electricity/annual/html/epa_03_01_a.html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40" customWidth="1" min="4" max="4"/>
  </cols>
  <sheetData>
    <row r="1" ht="26" customHeight="1">
      <c r="A1" s="14" t="inlineStr">
        <is>
          <t>Policy Scenario Assumptions</t>
        </is>
      </c>
    </row>
    <row r="2">
      <c r="A2" s="15" t="n"/>
      <c r="B2" s="15" t="n"/>
      <c r="C2" s="15" t="n"/>
      <c r="D2" s="15" t="n"/>
    </row>
    <row r="3">
      <c r="A3" s="10" t="inlineStr">
        <is>
          <t>Assumption</t>
        </is>
      </c>
      <c r="B3" s="10" t="inlineStr">
        <is>
          <t>Base</t>
        </is>
      </c>
      <c r="C3" s="10" t="inlineStr">
        <is>
          <t>Policy case</t>
        </is>
      </c>
      <c r="D3" s="10" t="inlineStr">
        <is>
          <t>Interpretation</t>
        </is>
      </c>
    </row>
    <row r="4">
      <c r="A4" s="16" t="inlineStr">
        <is>
          <t>Coal displacement share</t>
        </is>
      </c>
      <c r="B4" s="25" t="n">
        <v>0</v>
      </c>
      <c r="C4" s="25" t="n">
        <v>0.08</v>
      </c>
      <c r="D4" s="16" t="inlineStr">
        <is>
          <t>Fraction of coal generation displaced</t>
        </is>
      </c>
    </row>
    <row r="5">
      <c r="A5" s="16" t="inlineStr">
        <is>
          <t>Wind uplift share</t>
        </is>
      </c>
      <c r="B5" s="25" t="n">
        <v>0</v>
      </c>
      <c r="C5" s="25" t="n">
        <v>0.05</v>
      </c>
      <c r="D5" s="16" t="inlineStr">
        <is>
          <t>Growth relative to 2023 wind generation</t>
        </is>
      </c>
    </row>
    <row r="6">
      <c r="A6" s="16" t="inlineStr">
        <is>
          <t>Solar uplift share</t>
        </is>
      </c>
      <c r="B6" s="25" t="n">
        <v>0</v>
      </c>
      <c r="C6" s="25" t="n">
        <v>0.12</v>
      </c>
      <c r="D6" s="16" t="inlineStr">
        <is>
          <t>Growth relative to 2023 solar generation</t>
        </is>
      </c>
    </row>
    <row r="7">
      <c r="A7" s="16" t="inlineStr">
        <is>
          <t>Grid demand growth</t>
        </is>
      </c>
      <c r="B7" s="25" t="n">
        <v>0</v>
      </c>
      <c r="C7" s="25" t="n">
        <v>0.01</v>
      </c>
      <c r="D7" s="16" t="inlineStr">
        <is>
          <t>Base uses supplied demand; policy applies demand growth</t>
        </is>
      </c>
    </row>
    <row r="8">
      <c r="A8" s="16" t="inlineStr">
        <is>
          <t>Gas balancing factor</t>
        </is>
      </c>
      <c r="B8" s="25" t="n">
        <v>1</v>
      </c>
      <c r="C8" s="25" t="n">
        <v>1</v>
      </c>
      <c r="D8" s="16" t="inlineStr">
        <is>
          <t>Residual demand allocation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6" customWidth="1" min="5" max="5"/>
    <col width="40" customWidth="1" min="6" max="6"/>
  </cols>
  <sheetData>
    <row r="1" ht="26" customHeight="1">
      <c r="A1" s="14" t="inlineStr">
        <is>
          <t>Policy Scenario Dependency Model</t>
        </is>
      </c>
    </row>
    <row r="2">
      <c r="A2" s="15" t="n"/>
      <c r="B2" s="15" t="n"/>
      <c r="C2" s="15" t="n"/>
      <c r="D2" s="15" t="n"/>
      <c r="E2" s="15" t="n"/>
      <c r="F2" s="15" t="n"/>
    </row>
    <row r="3">
      <c r="A3" s="10" t="inlineStr">
        <is>
          <t>Metric</t>
        </is>
      </c>
      <c r="B3" s="10" t="inlineStr">
        <is>
          <t>Base case</t>
        </is>
      </c>
      <c r="C3" s="10" t="inlineStr">
        <is>
          <t>Policy case</t>
        </is>
      </c>
      <c r="D3" s="10" t="inlineStr">
        <is>
          <t>Delta</t>
        </is>
      </c>
      <c r="E3" s="10" t="inlineStr">
        <is>
          <t>Unit</t>
        </is>
      </c>
      <c r="F3" s="10" t="inlineStr">
        <is>
          <t>Dependency</t>
        </is>
      </c>
    </row>
    <row r="4">
      <c r="A4" s="16" t="inlineStr">
        <is>
          <t>Forecast demand</t>
        </is>
      </c>
      <c r="B4" s="26">
        <f>'Generation_Data'!D8*(1+'Policy_Assumptions'!B7)</f>
        <v/>
      </c>
      <c r="C4" s="26">
        <f>'Generation_Data'!D8*(1+'Policy_Assumptions'!C7)</f>
        <v/>
      </c>
      <c r="D4" s="26">
        <f>C4-B4</f>
        <v/>
      </c>
      <c r="E4" s="16" t="inlineStr">
        <is>
          <t>GWh</t>
        </is>
      </c>
      <c r="F4" s="16" t="inlineStr">
        <is>
          <t>Supplied demand × case growth</t>
        </is>
      </c>
    </row>
    <row r="5">
      <c r="A5" s="16" t="inlineStr">
        <is>
          <t>Coal generation</t>
        </is>
      </c>
      <c r="B5" s="26">
        <f>'Generation_Data'!D4*(1-'Policy_Assumptions'!B4)</f>
        <v/>
      </c>
      <c r="C5" s="26">
        <f>'Generation_Data'!D4*(1-'Policy_Assumptions'!C4)</f>
        <v/>
      </c>
      <c r="D5" s="26">
        <f>C5-B5</f>
        <v/>
      </c>
      <c r="E5" s="16" t="inlineStr">
        <is>
          <t>GWh</t>
        </is>
      </c>
      <c r="F5" s="16" t="inlineStr">
        <is>
          <t>Supplied coal × displacement</t>
        </is>
      </c>
    </row>
    <row r="6">
      <c r="A6" s="16" t="inlineStr">
        <is>
          <t>Wind generation</t>
        </is>
      </c>
      <c r="B6" s="26">
        <f>'Generation_Data'!D6*(1+'Policy_Assumptions'!B5)</f>
        <v/>
      </c>
      <c r="C6" s="26">
        <f>'Generation_Data'!D6*(1+'Policy_Assumptions'!C5)</f>
        <v/>
      </c>
      <c r="D6" s="26">
        <f>C6-B6</f>
        <v/>
      </c>
      <c r="E6" s="16" t="inlineStr">
        <is>
          <t>GWh</t>
        </is>
      </c>
      <c r="F6" s="16" t="inlineStr">
        <is>
          <t>Supplied wind × uplift</t>
        </is>
      </c>
    </row>
    <row r="7">
      <c r="A7" s="16" t="inlineStr">
        <is>
          <t>Solar generation</t>
        </is>
      </c>
      <c r="B7" s="26">
        <f>'Generation_Data'!D7*(1+'Policy_Assumptions'!B6)</f>
        <v/>
      </c>
      <c r="C7" s="26">
        <f>'Generation_Data'!D7*(1+'Policy_Assumptions'!C6)</f>
        <v/>
      </c>
      <c r="D7" s="26">
        <f>C7-B7</f>
        <v/>
      </c>
      <c r="E7" s="16" t="inlineStr">
        <is>
          <t>GWh</t>
        </is>
      </c>
      <c r="F7" s="16" t="inlineStr">
        <is>
          <t>Supplied solar × uplift</t>
        </is>
      </c>
    </row>
    <row r="8">
      <c r="A8" s="16" t="inlineStr">
        <is>
          <t>Natural gas balancing generation</t>
        </is>
      </c>
      <c r="B8" s="26">
        <f>'Generation_Data'!D5</f>
        <v/>
      </c>
      <c r="C8" s="26">
        <f>C4-C5-C6-C7</f>
        <v/>
      </c>
      <c r="D8" s="26">
        <f>C8-B8</f>
        <v/>
      </c>
      <c r="E8" s="16" t="inlineStr">
        <is>
          <t>GWh</t>
        </is>
      </c>
      <c r="F8" s="16" t="inlineStr">
        <is>
          <t>Historical gas plus the remaining policy change</t>
        </is>
      </c>
    </row>
    <row r="9">
      <c r="A9" t="inlineStr">
        <is>
          <t>Other generation</t>
        </is>
      </c>
      <c r="B9">
        <f>B4-B5-B6-B7-B8</f>
        <v/>
      </c>
      <c r="C9">
        <f>B9</f>
        <v/>
      </c>
      <c r="D9">
        <f>C9-B9</f>
        <v/>
      </c>
      <c r="E9" t="inlineStr">
        <is>
          <t>GWh</t>
        </is>
      </c>
      <c r="F9" t="inlineStr">
        <is>
          <t>Demand residual in base; held constant in policy</t>
        </is>
      </c>
    </row>
    <row r="10">
      <c r="A10" s="16" t="inlineStr">
        <is>
          <t>Emissions</t>
        </is>
      </c>
      <c r="B10" s="26">
        <f>(B5*'Generation_Data'!E4+B8*'Generation_Data'!E5)*1000</f>
        <v/>
      </c>
      <c r="C10" s="26">
        <f>(C5*'Generation_Data'!E4+C8*'Generation_Data'!E5)*1000</f>
        <v/>
      </c>
      <c r="D10" s="26">
        <f>C10-B10</f>
        <v/>
      </c>
      <c r="E10" s="16" t="inlineStr">
        <is>
          <t>tCO₂</t>
        </is>
      </c>
      <c r="F10" s="16" t="inlineStr">
        <is>
          <t>(Coal + gas factors) × 1,000 MWh/GWh</t>
        </is>
      </c>
    </row>
    <row r="11">
      <c r="A11" s="16" t="inlineStr">
        <is>
          <t>Emissions intensity</t>
        </is>
      </c>
      <c r="B11" s="27">
        <f>B10/(B4*1000)</f>
        <v/>
      </c>
      <c r="C11" s="27">
        <f>C10/(C4*1000)</f>
        <v/>
      </c>
      <c r="D11" s="27">
        <f>C11-B11</f>
        <v/>
      </c>
      <c r="E11" s="16" t="inlineStr">
        <is>
          <t>tCO₂/MWh</t>
        </is>
      </c>
      <c r="F11" s="16" t="inlineStr">
        <is>
          <t>Emissions / (demand × 1,000)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8" customWidth="1" min="3" max="3"/>
    <col width="34" customWidth="1" min="4" max="4"/>
  </cols>
  <sheetData>
    <row r="1" ht="26" customHeight="1">
      <c r="A1" s="14" t="inlineStr">
        <is>
          <t>Policy Decision Results</t>
        </is>
      </c>
    </row>
    <row r="2">
      <c r="A2" s="15" t="n"/>
      <c r="B2" s="15" t="n"/>
      <c r="C2" s="15" t="n"/>
      <c r="D2" s="15" t="n"/>
    </row>
    <row r="3">
      <c r="A3" s="10" t="inlineStr">
        <is>
          <t>Result</t>
        </is>
      </c>
      <c r="B3" s="10" t="inlineStr">
        <is>
          <t>Value</t>
        </is>
      </c>
      <c r="C3" s="10" t="inlineStr">
        <is>
          <t>Decision relevance</t>
        </is>
      </c>
      <c r="D3" s="10" t="inlineStr">
        <is>
          <t>Evidence</t>
        </is>
      </c>
    </row>
    <row r="4">
      <c r="A4" s="16" t="inlineStr">
        <is>
          <t>Emissions reduction</t>
        </is>
      </c>
      <c r="B4" s="26">
        <f>'Scenario_Model'!B10-'Scenario_Model'!C10</f>
        <v/>
      </c>
      <c r="C4" s="16" t="inlineStr">
        <is>
          <t>Policy-case emissions delta</t>
        </is>
      </c>
      <c r="D4" s="16" t="inlineStr">
        <is>
          <t>Scenario_Model</t>
        </is>
      </c>
    </row>
    <row r="5">
      <c r="A5" s="16" t="inlineStr">
        <is>
          <t>Intensity change</t>
        </is>
      </c>
      <c r="B5" s="26">
        <f>'Scenario_Model'!B11-'Scenario_Model'!C11</f>
        <v/>
      </c>
      <c r="C5" s="16" t="inlineStr">
        <is>
          <t>Decarbonization indicator</t>
        </is>
      </c>
      <c r="D5" s="16" t="inlineStr">
        <is>
          <t>Scenario_Model</t>
        </is>
      </c>
    </row>
    <row r="6">
      <c r="A6" s="16" t="inlineStr">
        <is>
          <t>Gas balancing change</t>
        </is>
      </c>
      <c r="B6" s="26">
        <f>'Scenario_Model'!C8-'Scenario_Model'!B8</f>
        <v/>
      </c>
      <c r="C6" s="16" t="inlineStr">
        <is>
          <t>Reliability trade-off</t>
        </is>
      </c>
      <c r="D6" s="16" t="inlineStr">
        <is>
          <t>Scenario_Model</t>
        </is>
      </c>
    </row>
    <row r="7">
      <c r="A7" s="16" t="inlineStr">
        <is>
          <t>Recommendation</t>
        </is>
      </c>
      <c r="B7" s="16">
        <f>IF(B4&gt;0,"Policy case reduces modeled emissions","Review scenario dependencies")</f>
        <v/>
      </c>
      <c r="C7" s="16" t="inlineStr">
        <is>
          <t>Decision support</t>
        </is>
      </c>
      <c r="D7" s="16" t="inlineStr">
        <is>
          <t>Benchmark-authored policy framing</t>
        </is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5" customWidth="1" min="4" max="4"/>
    <col width="42" customWidth="1" min="5" max="5"/>
  </cols>
  <sheetData>
    <row r="1" ht="26" customHeight="1">
      <c r="A1" s="14" t="inlineStr">
        <is>
          <t>Policy Model Checks</t>
        </is>
      </c>
    </row>
    <row r="2">
      <c r="A2" s="15" t="n"/>
      <c r="B2" s="15" t="n"/>
      <c r="C2" s="15" t="n"/>
      <c r="D2" s="15" t="n"/>
      <c r="E2" s="15" t="n"/>
    </row>
    <row r="3">
      <c r="A3" s="10" t="inlineStr">
        <is>
          <t>Check</t>
        </is>
      </c>
      <c r="B3" s="10" t="inlineStr">
        <is>
          <t>Actual</t>
        </is>
      </c>
      <c r="C3" s="10" t="inlineStr">
        <is>
          <t>Expected</t>
        </is>
      </c>
      <c r="D3" s="10" t="inlineStr">
        <is>
          <t>Status</t>
        </is>
      </c>
      <c r="E3" s="10" t="inlineStr">
        <is>
          <t>Notes</t>
        </is>
      </c>
    </row>
    <row r="4">
      <c r="A4" s="16" t="inlineStr">
        <is>
          <t>Demand balance</t>
        </is>
      </c>
      <c r="B4" s="16">
        <f>'Scenario_Model'!C4-SUM('Scenario_Model'!C5:C9)</f>
        <v/>
      </c>
      <c r="C4" s="16" t="n">
        <v>0</v>
      </c>
      <c r="D4" s="16">
        <f>IF(ABS(B4)&lt;0.1,"PASS","CHECK")</f>
        <v/>
      </c>
      <c r="E4" s="16" t="inlineStr">
        <is>
          <t>Demand equals coal + gas + wind + solar + Other</t>
        </is>
      </c>
    </row>
    <row r="5">
      <c r="A5" s="16" t="inlineStr">
        <is>
          <t>Policy coal reduction</t>
        </is>
      </c>
      <c r="B5" s="16">
        <f>'Scenario_Model'!C5-'Scenario_Model'!B5</f>
        <v/>
      </c>
      <c r="C5" s="16" t="n"/>
      <c r="D5" s="16">
        <f>IF(B5&lt;0,"PASS","CHECK")</f>
        <v/>
      </c>
      <c r="E5" s="16" t="inlineStr">
        <is>
          <t>Policy case should lower coal</t>
        </is>
      </c>
    </row>
    <row r="6">
      <c r="A6" s="16" t="inlineStr">
        <is>
          <t>Emissions link</t>
        </is>
      </c>
      <c r="B6" s="16">
        <f>'Scenario_Model'!C10-(('Scenario_Model'!C5*'Generation_Data'!E4+'Scenario_Model'!C8*'Generation_Data'!E5)*1000)</f>
        <v/>
      </c>
      <c r="C6" s="16" t="n">
        <v>0</v>
      </c>
      <c r="D6" s="16">
        <f>IF(ABS(B6)&lt;0.1,"PASS","CHECK")</f>
        <v/>
      </c>
      <c r="E6" s="16" t="inlineStr">
        <is>
          <t>Emissions convert GWh to MWh before applying factors</t>
        </is>
      </c>
    </row>
    <row r="7">
      <c r="A7" s="16" t="inlineStr">
        <is>
          <t>Protected historical data</t>
        </is>
      </c>
      <c r="B7" s="16" t="n"/>
      <c r="C7" s="16" t="n"/>
      <c r="D7" s="16" t="n"/>
      <c r="E7" s="16" t="inlineStr">
        <is>
          <t>Generation data must not be changed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2026-09-04T02:13:43Z</dcterms:created>
  <dcterms:modified xmlns:dcterms="http://purl.org/dc/terms/" xmlns:xsi="http://www.w3.org/2001/XMLSchema-instance" xsi:type="dcterms:W3CDTF">2026-09-04T02:13:43Z</dcterms:modified>
</cp:coreProperties>
</file>